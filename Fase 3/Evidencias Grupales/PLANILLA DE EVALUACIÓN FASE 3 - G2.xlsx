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uri\OneDrive\Desktop\PERSONAL MFC\DUOC\2025\Semestre 2\PTY4614 - CAPSTONE\02 Fases\007V\Grupo 2\Fase 3\Evidencias Grupales\"/>
    </mc:Choice>
  </mc:AlternateContent>
  <bookViews>
    <workbookView xWindow="0" yWindow="0" windowWidth="19164" windowHeight="8076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<sst xmlns="http://schemas.openxmlformats.org/spreadsheetml/2006/main" count="165" uniqueCount="67">
  <si>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</si>
  <si>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</si>
  <si>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</si>
  <si>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</si>
  <si>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</si>
  <si>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</si>
  <si>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</si>
  <si>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</si>
  <si>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</si>
  <si>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</si>
  <si>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</si>
  <si>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</si>
  <si>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</si>
  <si>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</si>
  <si>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</si>
  <si>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</si>
  <si>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</si>
  <si>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</si>
  <si>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</si>
  <si>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</si>
  <si>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</si>
  <si>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</si>
  <si>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</si>
  <si>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</si>
  <si>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</si>
  <si>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</si>
  <si>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</si>
  <si>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</si>
  <si>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</si>
  <si>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</si>
  <si>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</si>
  <si>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</si>
  <si>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</si>
  <si>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</si>
  <si>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</si>
  <si>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</si>
  <si>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</si>
  <si>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</si>
  <si>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</si>
  <si>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</si>
  <si>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</si>
  <si>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</si>
  <si>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</si>
  <si>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</si>
  <si>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</si>
  <si>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</si>
  <si>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</si>
  <si>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</si>
  <si>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</si>
  <si>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</si>
  <si>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</si>
  <si>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</si>
  <si>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</si>
  <si>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</si>
  <si>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</si>
  <si>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</si>
  <si>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</si>
  <si>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</si>
  <si>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</si>
  <si>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</si>
  <si>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</si>
  <si>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</si>
  <si>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</si>
  <si>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ANTONIO IGNACIO YURI VEGA VEGA</t>
  </si>
  <si>
    <t>DAVID MATIAS RUBIO FIGUEROA</t>
  </si>
  <si>
    <t>ESTEBAN EDUARDO ROJAS ORTIZ</t>
  </si>
  <si>
    <t>Filtrar por los colegios que tengo en duoc regional, segmentar por Viña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</si>
</sst>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8"/>
      <color rgb="FF262626"/>
      <name val="Open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 applyAlignment="1"/>
    <xf numFmtId="0" fontId="2" fillId="0" borderId="17" xfId="0" applyFont="1" applyBorder="1" applyAlignment="1"/>
    <xf numFmtId="0" fontId="2" fillId="0" borderId="3" xfId="0" applyFont="1" applyBorder="1" applyAlignment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 applyAlignment="1"/>
    <xf numFmtId="0" fontId="2" fillId="0" borderId="14" xfId="0" applyFont="1" applyBorder="1" applyAlignment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 applyAlignment="1"/>
    <xf numFmtId="0" fontId="17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97"/>
  <sheetViews>
    <sheetView tabSelected="1" zoomScale="120" zoomScaleNormal="120" workbookViewId="0">
      <selection activeCell="B8" sqref="B8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8">
        <v>0.7</v>
      </c>
      <c r="D2" s="31">
        <v>0.3</v>
      </c>
      <c r="E2" s="32">
        <v>1</v>
      </c>
    </row>
    <row r="3" spans="1:11" ht="14.4" x14ac:dyDescent="0.3">
      <c r="B3" s="2" t="s">
        <v>0</v>
      </c>
      <c r="C3" s="29" t="s">
        <v>1</v>
      </c>
      <c r="D3" s="33" t="s">
        <v>2</v>
      </c>
      <c r="E3" s="34" t="s">
        <v>3</v>
      </c>
    </row>
    <row r="4" spans="1:11" ht="14.4" x14ac:dyDescent="0.3">
      <c r="A4" s="3">
        <v>1</v>
      </c>
      <c r="B4" s="38" t="s">
        <v>63</v>
      </c>
      <c r="C4" s="30">
        <f>C21</f>
        <v>7</v>
      </c>
      <c r="D4" s="36">
        <f>C60</f>
        <v>7</v>
      </c>
      <c r="E4" s="35">
        <f>C4*C$2+D4*D$2</f>
        <v>7</v>
      </c>
    </row>
    <row r="5" spans="1:11" ht="14.4" x14ac:dyDescent="0.3">
      <c r="A5" s="3">
        <v>2</v>
      </c>
      <c r="B5" s="38" t="s">
        <v>64</v>
      </c>
      <c r="C5" s="30">
        <f>C34</f>
        <v>7</v>
      </c>
      <c r="D5" s="36">
        <f>C73</f>
        <v>7</v>
      </c>
      <c r="E5" s="35">
        <f t="shared" ref="E5:E6" si="0">C5*C$2+D5*D$2</f>
        <v>7</v>
      </c>
    </row>
    <row r="6" spans="1:11" ht="14.4" x14ac:dyDescent="0.3">
      <c r="A6" s="3">
        <v>3</v>
      </c>
      <c r="B6" s="38" t="s">
        <v>65</v>
      </c>
      <c r="C6" s="30">
        <f>C47</f>
        <v>7</v>
      </c>
      <c r="D6" s="36">
        <f>C86</f>
        <v>7</v>
      </c>
      <c r="E6" s="35">
        <f t="shared" si="0"/>
        <v>7</v>
      </c>
    </row>
    <row r="8" spans="1:11" ht="15" customHeight="1" x14ac:dyDescent="0.3">
      <c r="B8" s="58" t="s">
        <v>66</v>
      </c>
    </row>
    <row r="11" spans="1:11" ht="18" outlineLevel="1" x14ac:dyDescent="0.3">
      <c r="A11" s="48" t="s">
        <v>4</v>
      </c>
      <c r="B11" s="11" t="str">
        <f>B4</f>
        <v>ANTONIO IGNACIO YURI VEGA VEGA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1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1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1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0"/>
      <c r="B20" s="17" t="s">
        <v>12</v>
      </c>
      <c r="C20" s="21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2"/>
      <c r="B21" s="20" t="s">
        <v>13</v>
      </c>
      <c r="C21" s="14">
        <f>VLOOKUP(C20,ESCALA_IEP!A2:B202,2,FALSE)</f>
        <v>7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48" t="s">
        <v>4</v>
      </c>
      <c r="B24" s="11" t="str">
        <f>B5</f>
        <v>DAVID MATIAS RUBIO FIGUEROA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1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1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1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0"/>
      <c r="B33" s="17" t="s">
        <v>12</v>
      </c>
      <c r="C33" s="21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2"/>
      <c r="B34" s="20" t="s">
        <v>13</v>
      </c>
      <c r="C34" s="14">
        <f>VLOOKUP(C33,ESCALA_IEP!A15:B215,2,FALSE)</f>
        <v>7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48" t="s">
        <v>4</v>
      </c>
      <c r="B37" s="11" t="str">
        <f>B6</f>
        <v>ESTEBAN EDUARDO ROJAS ORTIZ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1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1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1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0"/>
      <c r="B46" s="17" t="s">
        <v>12</v>
      </c>
      <c r="C46" s="21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2"/>
      <c r="B47" s="20" t="s">
        <v>13</v>
      </c>
      <c r="C47" s="14">
        <f>VLOOKUP(C46,ESCALA_IEP!A28:B228,2,FALSE)</f>
        <v>7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39" t="s">
        <v>14</v>
      </c>
      <c r="B50" s="11" t="str">
        <f>B4</f>
        <v>ANTONIO IGNACIO YURI VEGA VEGA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3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3">
      <c r="A52" s="41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3">
      <c r="A53" s="41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1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1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1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3">
      <c r="A57" s="41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">
      <c r="A58" s="41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5">
      <c r="A59" s="40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2"/>
      <c r="B60" s="20" t="s">
        <v>13</v>
      </c>
      <c r="C60" s="14">
        <f>VLOOKUP(C59,ESCALA_IEP!A41:B241,2,FALSE)</f>
        <v>7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39" t="s">
        <v>15</v>
      </c>
      <c r="B63" s="11" t="str">
        <f>B5</f>
        <v>DAVID MATIAS RUBIO FIGUEROA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41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3">
      <c r="A66" s="41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1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1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3">
      <c r="A69" s="41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3">
      <c r="A70" s="41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3">
      <c r="A71" s="41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5">
      <c r="A72" s="40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42"/>
      <c r="B73" s="20" t="s">
        <v>13</v>
      </c>
      <c r="C73" s="14">
        <f>VLOOKUP(C72,ESCALA_IEP!A54:B254,2,FALSE)</f>
        <v>7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39" t="s">
        <v>16</v>
      </c>
      <c r="B76" s="11" t="str">
        <f>B6</f>
        <v>ESTEBAN EDUARDO ROJAS ORTIZ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41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3">
      <c r="A79" s="41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41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41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3">
      <c r="A82" s="41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3">
      <c r="A83" s="41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41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5">
      <c r="A85" s="40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2"/>
      <c r="B86" s="20" t="s">
        <v>13</v>
      </c>
      <c r="C86" s="14">
        <f>VLOOKUP(C85,ESCALA_IEP!A67:B267,2,FALSE)</f>
        <v>7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3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3">
      <c r="A3" s="50"/>
      <c r="B3" s="55"/>
      <c r="C3" s="55"/>
      <c r="D3" s="26">
        <v>0.3</v>
      </c>
      <c r="E3" s="26">
        <v>0</v>
      </c>
      <c r="F3" s="50"/>
    </row>
    <row r="4" spans="1:6" ht="110.4" x14ac:dyDescent="0.3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6.94999999999999" customHeight="1" x14ac:dyDescent="0.3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3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96.6" x14ac:dyDescent="0.3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96.6" x14ac:dyDescent="0.3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96.6" x14ac:dyDescent="0.3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3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60</v>
      </c>
      <c r="B1" s="4" t="s">
        <v>12</v>
      </c>
      <c r="C1" s="5"/>
      <c r="D1" s="5"/>
      <c r="E1" s="6"/>
    </row>
    <row r="2" spans="1:5" ht="43.8" thickBot="1" x14ac:dyDescent="0.35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Mauricio Figueroa</cp:lastModifiedBy>
  <cp:revision/>
  <dcterms:created xsi:type="dcterms:W3CDTF">2023-08-07T04:08:01Z</dcterms:created>
  <dcterms:modified xsi:type="dcterms:W3CDTF">2025-12-04T23:00:29Z</dcterms:modified>
  <cp:category/>
  <cp:contentStatus/>
</cp:coreProperties>
</file>