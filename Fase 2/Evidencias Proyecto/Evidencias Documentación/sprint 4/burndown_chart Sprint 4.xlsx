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"/>
    </mc:Choice>
  </mc:AlternateContent>
  <xr:revisionPtr revIDLastSave="0" documentId="13_ncr:1_{A2D2EE6C-1C2A-481E-8F00-2CB6BFF4A0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  <sheet name="Hoja1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1" i="2" l="1"/>
  <c r="C11" i="2"/>
  <c r="B13" i="2"/>
  <c r="C12" i="2"/>
  <c r="B14" i="2"/>
  <c r="D11" i="2"/>
  <c r="E11" i="2"/>
  <c r="F11" i="2"/>
  <c r="G11" i="2"/>
  <c r="H11" i="2"/>
  <c r="I11" i="2"/>
  <c r="J11" i="2"/>
  <c r="K11" i="2"/>
  <c r="L12" i="2"/>
  <c r="K12" i="2"/>
  <c r="J12" i="2"/>
  <c r="I12" i="2"/>
  <c r="H12" i="2"/>
  <c r="G12" i="2"/>
  <c r="F12" i="2"/>
  <c r="E12" i="2"/>
  <c r="D12" i="2"/>
  <c r="M4" i="2"/>
  <c r="M3" i="2"/>
  <c r="M2" i="2"/>
  <c r="C13" i="2" l="1"/>
  <c r="D13" i="2" s="1"/>
  <c r="E13" i="2" s="1"/>
  <c r="F13" i="2" s="1"/>
  <c r="G13" i="2" s="1"/>
  <c r="H13" i="2" s="1"/>
  <c r="I13" i="2" s="1"/>
  <c r="J13" i="2" s="1"/>
  <c r="K13" i="2" s="1"/>
  <c r="L13" i="2" s="1"/>
  <c r="C14" i="2"/>
  <c r="D14" i="2" s="1"/>
  <c r="E14" i="2" s="1"/>
  <c r="F14" i="2" s="1"/>
  <c r="G14" i="2" s="1"/>
  <c r="H14" i="2" s="1"/>
  <c r="I14" i="2" s="1"/>
  <c r="J14" i="2" s="1"/>
  <c r="K14" i="2" s="1"/>
  <c r="L14" i="2" s="1"/>
</calcChain>
</file>

<file path=xl/sharedStrings.xml><?xml version="1.0" encoding="utf-8"?>
<sst xmlns="http://schemas.openxmlformats.org/spreadsheetml/2006/main" count="36" uniqueCount="25">
  <si>
    <t>Initial Estimate</t>
  </si>
  <si>
    <t>Hours Left</t>
  </si>
  <si>
    <t>Ideal Burndown</t>
  </si>
  <si>
    <t>Start</t>
  </si>
  <si>
    <t>Feature</t>
  </si>
  <si>
    <t>Settting</t>
  </si>
  <si>
    <t>Horas Planeadas</t>
  </si>
  <si>
    <t>Horas Actuales</t>
  </si>
  <si>
    <t>Esfuerzo Restante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</si>
  <si>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</si>
  <si>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</si>
  <si>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</si>
  <si>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</si>
  <si>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</si>
  <si>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</si>
  <si>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</si>
  <si>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</si>
  <si>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</si>
  <si>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</si>
  <si>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Estado</t>
  </si>
  <si>
    <t>Completado</t>
  </si>
  <si>
    <t>Pendiente</t>
  </si>
  <si>
    <t>Exportación de Reportes</t>
  </si>
  <si>
    <t>Modificacion de Visitas.</t>
  </si>
  <si>
    <t>Documentación del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</si>
</sst>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2" xfId="0" applyBorder="1"/>
    <xf numFmtId="0" fontId="2" fillId="2" borderId="3" xfId="0" applyFont="1" applyFill="1" applyBorder="1"/>
    <xf numFmtId="0" fontId="2" fillId="2" borderId="4" xfId="0" applyFont="1" applyFill="1" applyBorder="1"/>
    <xf numFmtId="0" fontId="0" fillId="3" borderId="4" xfId="0" applyFill="1" applyBorder="1"/>
    <xf numFmtId="0" fontId="0" fillId="0" borderId="4" xfId="0" applyBorder="1"/>
    <xf numFmtId="0" fontId="2" fillId="2" borderId="5" xfId="0" applyFont="1" applyFill="1" applyBorder="1"/>
    <xf numFmtId="0" fontId="0" fillId="3" borderId="5" xfId="0" applyFill="1" applyBorder="1"/>
    <xf numFmtId="0" fontId="0" fillId="0" borderId="5" xfId="0" applyBorder="1"/>
    <xf numFmtId="0" fontId="1" fillId="2" borderId="4" xfId="0" applyFont="1" applyFill="1" applyBorder="1"/>
    <xf numFmtId="0" fontId="3" fillId="3" borderId="3" xfId="0" applyFont="1" applyFill="1" applyBorder="1"/>
    <xf numFmtId="0" fontId="3" fillId="0" borderId="3" xfId="0" applyFont="1" applyBorder="1"/>
    <xf numFmtId="0" fontId="3" fillId="0" borderId="1" xfId="0" applyFont="1" applyBorder="1"/>
    <xf numFmtId="0" fontId="0" fillId="0" borderId="3" xfId="0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Admission</a:t>
            </a:r>
            <a:r>
              <a:rPr lang="en-US" baseline="0"/>
              <a:t> Analytics Sprint 4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453000998988602E-2"/>
          <c:y val="9.1756423423660666E-2"/>
          <c:w val="0.88123607775978352"/>
          <c:h val="0.7926011025377681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Sheet1!$A$11</c:f>
              <c:strCache>
                <c:ptCount val="1"/>
                <c:pt idx="0">
                  <c:v>Horas Planeadas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Sheet1!$B$10:$L$10</c:f>
              <c:strCache>
                <c:ptCount val="11"/>
                <c:pt idx="0">
                  <c:v>Start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</c:v>
                </c:pt>
              </c:strCache>
            </c:strRef>
          </c:cat>
          <c:val>
            <c:numRef>
              <c:f>Sheet1!$B$11:$L$11</c:f>
              <c:numCache>
                <c:formatCode>General</c:formatCode>
                <c:ptCount val="11"/>
                <c:pt idx="1">
                  <c:v>3.8</c:v>
                </c:pt>
                <c:pt idx="2">
                  <c:v>3.8</c:v>
                </c:pt>
                <c:pt idx="3">
                  <c:v>3.8</c:v>
                </c:pt>
                <c:pt idx="4">
                  <c:v>3.8</c:v>
                </c:pt>
                <c:pt idx="5">
                  <c:v>3.8</c:v>
                </c:pt>
                <c:pt idx="6">
                  <c:v>3.8</c:v>
                </c:pt>
                <c:pt idx="7">
                  <c:v>3.8</c:v>
                </c:pt>
                <c:pt idx="8">
                  <c:v>3.8</c:v>
                </c:pt>
                <c:pt idx="9">
                  <c:v>3.8</c:v>
                </c:pt>
                <c:pt idx="10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8D-4CA1-A3FE-21FEE6FC362E}"/>
            </c:ext>
          </c:extLst>
        </c:ser>
        <c:ser>
          <c:idx val="1"/>
          <c:order val="1"/>
          <c:tx>
            <c:strRef>
              <c:f>Sheet1!$A$12</c:f>
              <c:strCache>
                <c:ptCount val="1"/>
                <c:pt idx="0">
                  <c:v>Horas Actuales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Sheet1!$B$10:$L$10</c:f>
              <c:strCache>
                <c:ptCount val="11"/>
                <c:pt idx="0">
                  <c:v>Start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</c:v>
                </c:pt>
              </c:strCache>
            </c:strRef>
          </c:cat>
          <c:val>
            <c:numRef>
              <c:f>Sheet1!$B$12:$L$12</c:f>
              <c:numCache>
                <c:formatCode>General</c:formatCode>
                <c:ptCount val="11"/>
                <c:pt idx="1">
                  <c:v>5</c:v>
                </c:pt>
                <c:pt idx="2">
                  <c:v>5</c:v>
                </c:pt>
                <c:pt idx="3">
                  <c:v>0</c:v>
                </c:pt>
                <c:pt idx="4">
                  <c:v>2</c:v>
                </c:pt>
                <c:pt idx="5">
                  <c:v>7</c:v>
                </c:pt>
                <c:pt idx="6">
                  <c:v>5</c:v>
                </c:pt>
                <c:pt idx="7">
                  <c:v>5</c:v>
                </c:pt>
                <c:pt idx="8">
                  <c:v>7</c:v>
                </c:pt>
                <c:pt idx="9">
                  <c:v>2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8D-4CA1-A3FE-21FEE6FC3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97231920"/>
        <c:axId val="69524128"/>
      </c:barChart>
      <c:lineChart>
        <c:grouping val="standard"/>
        <c:varyColors val="0"/>
        <c:ser>
          <c:idx val="2"/>
          <c:order val="2"/>
          <c:tx>
            <c:strRef>
              <c:f>Sheet1!$A$13</c:f>
              <c:strCache>
                <c:ptCount val="1"/>
                <c:pt idx="0">
                  <c:v>Esfuerzo Restante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square"/>
            <c:size val="5"/>
            <c:spPr>
              <a:solidFill>
                <a:schemeClr val="accent1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Sheet1!$B$10:$L$10</c:f>
              <c:strCache>
                <c:ptCount val="11"/>
                <c:pt idx="0">
                  <c:v>Start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</c:v>
                </c:pt>
              </c:strCache>
            </c:strRef>
          </c:cat>
          <c:val>
            <c:numRef>
              <c:f>Sheet1!$B$13:$L$13</c:f>
              <c:numCache>
                <c:formatCode>General</c:formatCode>
                <c:ptCount val="11"/>
                <c:pt idx="0">
                  <c:v>38</c:v>
                </c:pt>
                <c:pt idx="1">
                  <c:v>33</c:v>
                </c:pt>
                <c:pt idx="2">
                  <c:v>28</c:v>
                </c:pt>
                <c:pt idx="3">
                  <c:v>28</c:v>
                </c:pt>
                <c:pt idx="4">
                  <c:v>26</c:v>
                </c:pt>
                <c:pt idx="5">
                  <c:v>19</c:v>
                </c:pt>
                <c:pt idx="6">
                  <c:v>14</c:v>
                </c:pt>
                <c:pt idx="7">
                  <c:v>9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8D-4CA1-A3FE-21FEE6FC362E}"/>
            </c:ext>
          </c:extLst>
        </c:ser>
        <c:ser>
          <c:idx val="3"/>
          <c:order val="3"/>
          <c:tx>
            <c:strRef>
              <c:f>Sheet1!$A$14</c:f>
              <c:strCache>
                <c:ptCount val="1"/>
                <c:pt idx="0">
                  <c:v>Ideal Burndown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</a:schemeClr>
              </a:solidFill>
              <a:prstDash val="lgDash"/>
              <a:round/>
            </a:ln>
            <a:effectLst/>
          </c:spPr>
          <c:marker>
            <c:symbol val="none"/>
          </c:marker>
          <c:cat>
            <c:strRef>
              <c:f>Sheet1!$B$10:$L$10</c:f>
              <c:strCache>
                <c:ptCount val="11"/>
                <c:pt idx="0">
                  <c:v>Start</c:v>
                </c:pt>
                <c:pt idx="1">
                  <c:v>Día 1</c:v>
                </c:pt>
                <c:pt idx="2">
                  <c:v>Día 2</c:v>
                </c:pt>
                <c:pt idx="3">
                  <c:v>Día 3</c:v>
                </c:pt>
                <c:pt idx="4">
                  <c:v>Día 4</c:v>
                </c:pt>
                <c:pt idx="5">
                  <c:v>Día 5</c:v>
                </c:pt>
                <c:pt idx="6">
                  <c:v>Día 6</c:v>
                </c:pt>
                <c:pt idx="7">
                  <c:v>Día 7</c:v>
                </c:pt>
                <c:pt idx="8">
                  <c:v>Día 8</c:v>
                </c:pt>
                <c:pt idx="9">
                  <c:v>Día 9</c:v>
                </c:pt>
                <c:pt idx="10">
                  <c:v>Día 10</c:v>
                </c:pt>
              </c:strCache>
            </c:strRef>
          </c:cat>
          <c:val>
            <c:numRef>
              <c:f>Sheet1!$B$14:$L$14</c:f>
              <c:numCache>
                <c:formatCode>General</c:formatCode>
                <c:ptCount val="11"/>
                <c:pt idx="0">
                  <c:v>38</c:v>
                </c:pt>
                <c:pt idx="1">
                  <c:v>34.200000000000003</c:v>
                </c:pt>
                <c:pt idx="2">
                  <c:v>30.400000000000002</c:v>
                </c:pt>
                <c:pt idx="3">
                  <c:v>26.6</c:v>
                </c:pt>
                <c:pt idx="4">
                  <c:v>22.8</c:v>
                </c:pt>
                <c:pt idx="5">
                  <c:v>19</c:v>
                </c:pt>
                <c:pt idx="6">
                  <c:v>15.2</c:v>
                </c:pt>
                <c:pt idx="7">
                  <c:v>11.399999999999999</c:v>
                </c:pt>
                <c:pt idx="8">
                  <c:v>7.5999999999999988</c:v>
                </c:pt>
                <c:pt idx="9">
                  <c:v>3.7999999999999989</c:v>
                </c:pt>
                <c:pt idx="1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8D-4CA1-A3FE-21FEE6FC36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46459152"/>
        <c:axId val="69504576"/>
      </c:lineChart>
      <c:catAx>
        <c:axId val="20464591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9504576"/>
        <c:crosses val="autoZero"/>
        <c:auto val="1"/>
        <c:lblAlgn val="ctr"/>
        <c:lblOffset val="100"/>
        <c:noMultiLvlLbl val="0"/>
      </c:catAx>
      <c:valAx>
        <c:axId val="695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459152"/>
        <c:crosses val="autoZero"/>
        <c:crossBetween val="between"/>
      </c:valAx>
      <c:valAx>
        <c:axId val="69524128"/>
        <c:scaling>
          <c:orientation val="minMax"/>
          <c:max val="3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7231920"/>
        <c:crosses val="max"/>
        <c:crossBetween val="between"/>
      </c:valAx>
      <c:catAx>
        <c:axId val="209723192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9524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426720</xdr:colOff>
      <xdr:row>1</xdr:row>
      <xdr:rowOff>76200</xdr:rowOff>
    </xdr:from>
    <xdr:to>
      <xdr:col>13</xdr:col>
      <xdr:colOff>182880</xdr:colOff>
      <xdr:row>22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B888C9-A82C-4165-ABB9-E795E7981A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3A665-88C7-4222-B918-AB1BED6AEF55}">
  <dimension ref="A1:N14"/>
  <sheetViews>
    <sheetView tabSelected="1" zoomScaleNormal="100" workbookViewId="0">
      <selection activeCell="F5" sqref="F5"/>
    </sheetView>
  </sheetViews>
  <sheetFormatPr baseColWidth="10" defaultColWidth="8.88671875" defaultRowHeight="14.4" x14ac:dyDescent="0.3"/>
  <cols>
    <col min="1" max="1" width="24.109375" bestFit="1" customWidth="1"/>
    <col min="2" max="2" width="13.33203125" customWidth="1"/>
    <col min="3" max="3" width="7.88671875" customWidth="1"/>
    <col min="4" max="4" width="7" customWidth="1"/>
    <col min="5" max="5" width="7.109375" customWidth="1"/>
    <col min="6" max="6" width="7.44140625" customWidth="1"/>
    <col min="7" max="7" width="7.5546875" customWidth="1"/>
    <col min="8" max="9" width="7.33203125" customWidth="1"/>
    <col min="10" max="10" width="7.21875" customWidth="1"/>
    <col min="11" max="11" width="8.5546875" customWidth="1"/>
    <col min="12" max="12" width="8.88671875" customWidth="1"/>
    <col min="13" max="13" width="11.77734375" customWidth="1"/>
    <col min="14" max="14" width="13.88671875" customWidth="1"/>
  </cols>
  <sheetData>
    <row r="1" spans="1:14" x14ac:dyDescent="0.3">
      <c r="A1" s="2" t="s">
        <v>4</v>
      </c>
      <c r="B1" s="3" t="s">
        <v>0</v>
      </c>
      <c r="C1" s="3" t="s">
        <v>9</v>
      </c>
      <c r="D1" s="3" t="s">
        <v>10</v>
      </c>
      <c r="E1" s="3" t="s">
        <v>11</v>
      </c>
      <c r="F1" s="3" t="s">
        <v>12</v>
      </c>
      <c r="G1" s="3" t="s">
        <v>13</v>
      </c>
      <c r="H1" s="3" t="s">
        <v>14</v>
      </c>
      <c r="I1" s="3" t="s">
        <v>15</v>
      </c>
      <c r="J1" s="3" t="s">
        <v>16</v>
      </c>
      <c r="K1" s="3" t="s">
        <v>17</v>
      </c>
      <c r="L1" s="3" t="s">
        <v>18</v>
      </c>
      <c r="M1" s="6" t="s">
        <v>1</v>
      </c>
      <c r="N1" s="6" t="s">
        <v>19</v>
      </c>
    </row>
    <row r="2" spans="1:14" x14ac:dyDescent="0.3">
      <c r="A2" s="14" t="s">
        <v>22</v>
      </c>
      <c r="B2" s="4">
        <v>10</v>
      </c>
      <c r="C2" s="4">
        <v>5</v>
      </c>
      <c r="D2" s="4">
        <v>5</v>
      </c>
      <c r="E2" s="15">
        <v>0</v>
      </c>
      <c r="F2" s="4">
        <v>0</v>
      </c>
      <c r="G2" s="4">
        <v>0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7">
        <f t="shared" ref="M2:M4" si="0">B2-(SUM(C2:L2))</f>
        <v>0</v>
      </c>
      <c r="N2" s="7" t="s">
        <v>21</v>
      </c>
    </row>
    <row r="3" spans="1:14" x14ac:dyDescent="0.3">
      <c r="A3" s="13" t="s">
        <v>23</v>
      </c>
      <c r="B3" s="5">
        <v>16</v>
      </c>
      <c r="C3" s="5">
        <v>0</v>
      </c>
      <c r="D3" s="5">
        <v>0</v>
      </c>
      <c r="E3" s="5">
        <v>0</v>
      </c>
      <c r="F3" s="5">
        <v>0</v>
      </c>
      <c r="G3" s="5">
        <v>5</v>
      </c>
      <c r="H3" s="5">
        <v>3</v>
      </c>
      <c r="I3" s="5">
        <v>3</v>
      </c>
      <c r="J3" s="5">
        <v>5</v>
      </c>
      <c r="K3" s="5">
        <v>0</v>
      </c>
      <c r="L3" s="5">
        <v>0</v>
      </c>
      <c r="M3" s="8">
        <f t="shared" si="0"/>
        <v>0</v>
      </c>
      <c r="N3" s="7" t="s">
        <v>20</v>
      </c>
    </row>
    <row r="4" spans="1:14" ht="28.8" x14ac:dyDescent="0.3">
      <c r="A4" s="14" t="s">
        <v>24</v>
      </c>
      <c r="B4" s="4">
        <v>12</v>
      </c>
      <c r="C4" s="4">
        <v>0</v>
      </c>
      <c r="D4" s="4">
        <v>0</v>
      </c>
      <c r="E4" s="4">
        <v>0</v>
      </c>
      <c r="F4" s="4">
        <v>2</v>
      </c>
      <c r="G4" s="4">
        <v>2</v>
      </c>
      <c r="H4" s="4">
        <v>2</v>
      </c>
      <c r="I4" s="4">
        <v>2</v>
      </c>
      <c r="J4" s="4">
        <v>2</v>
      </c>
      <c r="K4" s="4">
        <v>2</v>
      </c>
      <c r="L4" s="4">
        <v>0</v>
      </c>
      <c r="M4" s="7">
        <f t="shared" si="0"/>
        <v>0</v>
      </c>
      <c r="N4" s="7" t="s">
        <v>20</v>
      </c>
    </row>
    <row r="10" spans="1:14" x14ac:dyDescent="0.3">
      <c r="A10" s="2" t="s">
        <v>5</v>
      </c>
      <c r="B10" s="9" t="s">
        <v>3</v>
      </c>
      <c r="C10" s="3" t="s">
        <v>9</v>
      </c>
      <c r="D10" s="3" t="s">
        <v>10</v>
      </c>
      <c r="E10" s="3" t="s">
        <v>11</v>
      </c>
      <c r="F10" s="3" t="s">
        <v>12</v>
      </c>
      <c r="G10" s="3" t="s">
        <v>13</v>
      </c>
      <c r="H10" s="3" t="s">
        <v>14</v>
      </c>
      <c r="I10" s="3" t="s">
        <v>15</v>
      </c>
      <c r="J10" s="3" t="s">
        <v>16</v>
      </c>
      <c r="K10" s="3" t="s">
        <v>17</v>
      </c>
      <c r="L10" s="3" t="s">
        <v>18</v>
      </c>
    </row>
    <row r="11" spans="1:14" x14ac:dyDescent="0.3">
      <c r="A11" s="10" t="s">
        <v>6</v>
      </c>
      <c r="B11" s="4"/>
      <c r="C11" s="4">
        <f>SUM($B$2:$B$4)/10</f>
        <v>3.8</v>
      </c>
      <c r="D11" s="4">
        <f>SUM($B$2:$B$4)/10</f>
        <v>3.8</v>
      </c>
      <c r="E11" s="4">
        <f>SUM($B$2:$B$4)/10</f>
        <v>3.8</v>
      </c>
      <c r="F11" s="4">
        <f>SUM($B$2:$B$4)/10</f>
        <v>3.8</v>
      </c>
      <c r="G11" s="4">
        <f>SUM($B$2:$B$4)/10</f>
        <v>3.8</v>
      </c>
      <c r="H11" s="4">
        <f>SUM($B$2:$B$4)/10</f>
        <v>3.8</v>
      </c>
      <c r="I11" s="4">
        <f>SUM($B$2:$B$4)/10</f>
        <v>3.8</v>
      </c>
      <c r="J11" s="4">
        <f>SUM($B$2:$B$4)/10</f>
        <v>3.8</v>
      </c>
      <c r="K11" s="4">
        <f>SUM($B$2:$B$4)/10</f>
        <v>3.8</v>
      </c>
      <c r="L11" s="4">
        <f>SUM($B$2:$B$4)/10</f>
        <v>3.8</v>
      </c>
    </row>
    <row r="12" spans="1:14" x14ac:dyDescent="0.3">
      <c r="A12" s="11" t="s">
        <v>7</v>
      </c>
      <c r="B12" s="5"/>
      <c r="C12" s="5">
        <f>SUM(C2:C4)</f>
        <v>5</v>
      </c>
      <c r="D12" s="5">
        <f>SUM(D2:D4)</f>
        <v>5</v>
      </c>
      <c r="E12" s="5">
        <f>SUM(E2:E4)</f>
        <v>0</v>
      </c>
      <c r="F12" s="5">
        <f>SUM(F2:F4)</f>
        <v>2</v>
      </c>
      <c r="G12" s="5">
        <f>SUM(G2:G4)</f>
        <v>7</v>
      </c>
      <c r="H12" s="5">
        <f>SUM(H2:H4)</f>
        <v>5</v>
      </c>
      <c r="I12" s="5">
        <f>SUM(I2:I4)</f>
        <v>5</v>
      </c>
      <c r="J12" s="5">
        <f>SUM(J2:J4)</f>
        <v>7</v>
      </c>
      <c r="K12" s="5">
        <f>SUM(K2:K4)</f>
        <v>2</v>
      </c>
      <c r="L12" s="5">
        <f>SUM(L2:L4)</f>
        <v>0</v>
      </c>
    </row>
    <row r="13" spans="1:14" x14ac:dyDescent="0.3">
      <c r="A13" s="10" t="s">
        <v>8</v>
      </c>
      <c r="B13" s="4">
        <f>SUM(B2:B4)</f>
        <v>38</v>
      </c>
      <c r="C13" s="4">
        <f>B13-C12</f>
        <v>33</v>
      </c>
      <c r="D13" s="4">
        <f t="shared" ref="D13:J13" si="1">C13-D12</f>
        <v>28</v>
      </c>
      <c r="E13" s="4">
        <f t="shared" si="1"/>
        <v>28</v>
      </c>
      <c r="F13" s="4">
        <f t="shared" si="1"/>
        <v>26</v>
      </c>
      <c r="G13" s="4">
        <f t="shared" si="1"/>
        <v>19</v>
      </c>
      <c r="H13" s="4">
        <f t="shared" si="1"/>
        <v>14</v>
      </c>
      <c r="I13" s="4">
        <f t="shared" si="1"/>
        <v>9</v>
      </c>
      <c r="J13" s="4">
        <f t="shared" si="1"/>
        <v>2</v>
      </c>
      <c r="K13" s="4">
        <f>J13-K12</f>
        <v>0</v>
      </c>
      <c r="L13" s="4">
        <f t="shared" ref="L13" si="2">K13-L12</f>
        <v>0</v>
      </c>
    </row>
    <row r="14" spans="1:14" x14ac:dyDescent="0.3">
      <c r="A14" s="12" t="s">
        <v>2</v>
      </c>
      <c r="B14" s="1">
        <f>SUM(B2:B4)</f>
        <v>38</v>
      </c>
      <c r="C14" s="1">
        <f>B14-C11</f>
        <v>34.200000000000003</v>
      </c>
      <c r="D14" s="1">
        <f t="shared" ref="D14:F14" si="3">C14-D11</f>
        <v>30.400000000000002</v>
      </c>
      <c r="E14" s="1">
        <f t="shared" si="3"/>
        <v>26.6</v>
      </c>
      <c r="F14" s="1">
        <f t="shared" si="3"/>
        <v>22.8</v>
      </c>
      <c r="G14" s="1">
        <f t="shared" ref="G14:K14" si="4">F14-G11</f>
        <v>19</v>
      </c>
      <c r="H14" s="1">
        <f t="shared" si="4"/>
        <v>15.2</v>
      </c>
      <c r="I14" s="1">
        <f t="shared" si="4"/>
        <v>11.399999999999999</v>
      </c>
      <c r="J14" s="1">
        <f t="shared" si="4"/>
        <v>7.5999999999999988</v>
      </c>
      <c r="K14" s="1">
        <f t="shared" si="4"/>
        <v>3.7999999999999989</v>
      </c>
      <c r="L14" s="1">
        <f>K14-L11</f>
        <v>0</v>
      </c>
    </row>
  </sheetData>
  <phoneticPr fontId="4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8E31F-DEEC-4823-A5B7-CB6D5EE82749}">
  <dimension ref="A1"/>
  <sheetViews>
    <sheetView workbookViewId="0">
      <selection activeCell="N8" sqref="N8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MyBooker</dc:creator>
  <cp:lastModifiedBy>ESTEBAN EDUARDO ROJAS ORTIZ</cp:lastModifiedBy>
  <dcterms:created xsi:type="dcterms:W3CDTF">2017-03-11T18:37:14Z</dcterms:created>
  <dcterms:modified xsi:type="dcterms:W3CDTF">2025-11-21T20:04:23Z</dcterms:modified>
</cp:coreProperties>
</file>