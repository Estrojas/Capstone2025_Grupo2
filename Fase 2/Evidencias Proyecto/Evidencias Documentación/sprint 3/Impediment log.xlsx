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  <sheet state="visible" name="Main" sheetId="2" r:id="rId5"/>
    <sheet state="hidden" name="Backlog" sheetId="3" r:id="rId6"/>
    <sheet state="hidden" name="Tracker" sheetId="4" r:id="rId7"/>
    <sheet state="visible" name="Summary" sheetId="5" r:id="rId8"/>
    <sheet state="hidden" name="References" sheetId="6" r:id="rId9"/>
  </sheets>
  <definedNames>
    <definedName hidden="1" localSheetId="0" name="_xlnm._FilterDatabase">'Impediment Log'!$B$7:$L$18</definedName>
    <definedName hidden="1" localSheetId="2" name="_xlnm._FilterDatabase">Backlog!$B$7:$R$7</definedName>
    <definedName hidden="1" localSheetId="3" name="_xlnm._FilterDatabase">Tracker!$B$7:$S$7</definedName>
  </definedNames>
  <calcPr/>
  <extLst>
    <ext uri="GoogleSheetsCustomDataVersion2">
      <go:sheetsCustomData xmlns:go="http://customooxmlschemas.google.com/" r:id="rId10" roundtripDataChecksum="pUn1C3u/ejeoq+PIHoAD7uAjcNb0oTYXzVvflxo4SEg="/>
    </ext>
  </extLst>
</workbook>
</file>

<file path=xl/sharedStrings.xml><?xml version="1.0" encoding="utf-8"?>
<sst xmlns="http://schemas.openxmlformats.org/spreadsheetml/2006/main" count="195" uniqueCount="145">
  <si>
    <t>Impediments Logs</t>
  </si>
  <si>
    <t>Id</t>
  </si>
  <si>
    <t>Descripción</t>
  </si>
  <si>
    <t>Realizado por</t>
  </si>
  <si>
    <t>Fecha Ocurrida</t>
  </si>
  <si>
    <t>Sprint #</t>
  </si>
  <si>
    <t>Impacto Backlog #</t>
  </si>
  <si>
    <t>Dueño</t>
  </si>
  <si>
    <t>Status</t>
  </si>
  <si>
    <t>Resolución</t>
  </si>
  <si>
    <t>Resuelto en</t>
  </si>
  <si>
    <t>Comentarios</t>
  </si>
  <si>
    <t>Llego un aviso de suspension de cuenta de GCP</t>
  </si>
  <si>
    <t>Esteban Rojas</t>
  </si>
  <si>
    <t>Bloquea todo el desarrollo del DataWarehouse</t>
  </si>
  <si>
    <t>Solucionado</t>
  </si>
  <si>
    <t>GCP devolvio la cuenta, fue un error de ellos al parecer. La facturacion esta en regla.</t>
  </si>
  <si>
    <t>Se tenia planeado crear una cuenta nueva, o cambiar la tarjeta. Se debe definir como un riesgo y tener un plan de contingencia.</t>
  </si>
  <si>
    <t>Falta desarrollo del frontend para la interfaz CRUD</t>
  </si>
  <si>
    <t>David Rubio</t>
  </si>
  <si>
    <t>Bloquea las pruebas de funcionalidad completa y la validación con el usuario final</t>
  </si>
  <si>
    <t>Asignar desarrolladores, crear esquema visula de la estructura.</t>
  </si>
  <si>
    <t>Al no obtener una clara idea respecto a la estructura no se puede implementar la conección con la base de datos.</t>
  </si>
  <si>
    <t>Falta de recursos en Region GCP</t>
  </si>
  <si>
    <t>Bloquea el desarollo del Pipeline</t>
  </si>
  <si>
    <t>Se desarrollaron los pipelines de manera local, se cambiara el desarrollo de los pipelines al entorno de Cloud Functions de GCP mezclado con dataflow</t>
  </si>
  <si>
    <t>Probar en diferentes Horarios, ya que algunos Jobs funcionaron y otros no. Descargar apache Spark para realizar</t>
  </si>
  <si>
    <t>Dataprep suspendio su prueba Gratuita</t>
  </si>
  <si>
    <t>Pipelines en GCP inaccesibles</t>
  </si>
  <si>
    <t>Pipelines re hechos en Python de manera local</t>
  </si>
  <si>
    <t>Todos los pipelines se sacarian de Dataprep, pero se perdio el avance que se tenia en los que aun no se respaldaban.</t>
  </si>
  <si>
    <t>Enfermedad de uno de los miembros</t>
  </si>
  <si>
    <t>Antonio Vega</t>
  </si>
  <si>
    <t>Retraso en el avance del proyecto</t>
  </si>
  <si>
    <t>Procurar de resguardar salud</t>
  </si>
  <si>
    <t>El integrante Antonio Vega tuvo covid-19, estuvo con dolores varios de articulación, musculos, migraña, bajas de presión, subidas de presión, mareos, vomitos, colicos, los cuales dificultaron el progreso o avance del proyecto</t>
  </si>
  <si>
    <t>Caida de AWS</t>
  </si>
  <si>
    <t>Retraso en avance del proyecto</t>
  </si>
  <si>
    <t>Esperar a que AWS se recupere para la obtencion de los registro e usuarios a traves de supabase</t>
  </si>
  <si>
    <t>AWS restauro sus servicios a los dias de su caida masiva, dentro de los servicios restaurados se encuentra supabase, ya que trabaja con servidores de Linux de AWS.</t>
  </si>
  <si>
    <t>Regiones Incompatibles Power Bi / GCP</t>
  </si>
  <si>
    <t>Esteban Rojas/David Rubio</t>
  </si>
  <si>
    <t>Imposible seguir con las vistas en Power Bi</t>
  </si>
  <si>
    <t>Se creo un segundo DW con Región en US.</t>
  </si>
  <si>
    <t xml:space="preserve">Se quedo con 2 DW, pero el de US quedo como el principal. </t>
  </si>
  <si>
    <t>Problemas con deploy en produccion de vercel</t>
  </si>
  <si>
    <t>No se puede ingresar desde el link de la plataforma para revisar cambios aplicados</t>
  </si>
  <si>
    <t>Problemas con redirección de usuario al ingresar a la plataforma, redireccionaba a un JSON con status "ok", pero se mantenia el inicio de sesion de usuario por cookies, pero se tenia que hacer un force browsing para ingresar a la información</t>
  </si>
  <si>
    <t>Se cambio el manejo de cookies en relación al dominio, cuando se fijaba un dominio no dejaba redireccionar correctamente a la plataforma</t>
  </si>
  <si>
    <t>Falta de columnas relevantes en relación al tipo de formación de los establecimientos para los filtros</t>
  </si>
  <si>
    <t>No se pueden realizar los filtros avanzados por falta columnas descriptivas</t>
  </si>
  <si>
    <t>Se modifico el pipeline y se agregaron las columnas solicitadas por David</t>
  </si>
  <si>
    <t>Sin comentarios</t>
  </si>
  <si>
    <t>Scrum Project</t>
  </si>
  <si>
    <t>Producto</t>
  </si>
  <si>
    <t>Admission Analytics</t>
  </si>
  <si>
    <t>Product Status</t>
  </si>
  <si>
    <t>Versión Activa</t>
  </si>
  <si>
    <t>v 1.0</t>
  </si>
  <si>
    <t>Sponsor</t>
  </si>
  <si>
    <t>Team</t>
  </si>
  <si>
    <t>Scrum Master</t>
  </si>
  <si>
    <t>Estevan Rojas</t>
  </si>
  <si>
    <t>Product Owner</t>
  </si>
  <si>
    <t>Developers</t>
  </si>
  <si>
    <t>Project Champion</t>
  </si>
  <si>
    <t>Other Stakeholders</t>
  </si>
  <si>
    <t>Projects</t>
  </si>
  <si>
    <t>Sprint Plan</t>
  </si>
  <si>
    <t>Project #1</t>
  </si>
  <si>
    <t>Empezado</t>
  </si>
  <si>
    <t>Finalizado</t>
  </si>
  <si>
    <t>Comentario</t>
  </si>
  <si>
    <t>Sprint</t>
  </si>
  <si>
    <t>Empieza en</t>
  </si>
  <si>
    <t>Finaliza en</t>
  </si>
  <si>
    <t>Story Points (Committed)</t>
  </si>
  <si>
    <t>Story Points (Delivered)</t>
  </si>
  <si>
    <t>Initial release</t>
  </si>
  <si>
    <t>In Progress</t>
  </si>
  <si>
    <t>Spr. 1.1</t>
  </si>
  <si>
    <t>Complete</t>
  </si>
  <si>
    <t>Spr. 1.2</t>
  </si>
  <si>
    <t>Spr. 1.3</t>
  </si>
  <si>
    <t>Spr. 1.4</t>
  </si>
  <si>
    <t>Spr. 1.5</t>
  </si>
  <si>
    <t>Backlog</t>
  </si>
  <si>
    <t>Theme</t>
  </si>
  <si>
    <t>As a..</t>
  </si>
  <si>
    <t>I want to ..</t>
  </si>
  <si>
    <t>so that ..</t>
  </si>
  <si>
    <t>Acceptance Criteria</t>
  </si>
  <si>
    <t>Remarks</t>
  </si>
  <si>
    <t>Priority</t>
  </si>
  <si>
    <t>Type</t>
  </si>
  <si>
    <t>Project Id</t>
  </si>
  <si>
    <t>Sprint Id</t>
  </si>
  <si>
    <t>Story Points (Est.)</t>
  </si>
  <si>
    <t>Effort (Actual)</t>
  </si>
  <si>
    <t>Owner</t>
  </si>
  <si>
    <t>DM-1</t>
  </si>
  <si>
    <t>opportunity</t>
  </si>
  <si>
    <t>rep</t>
  </si>
  <si>
    <t xml:space="preserve">capture opportunities with following attributes - 
 - customer information
 - potential revenue
 - start date
 - end date
 - status 
</t>
  </si>
  <si>
    <t>I can capture all aspects of opportunity in one place - with minimal clicks.</t>
  </si>
  <si>
    <t>DM-4</t>
  </si>
  <si>
    <t>edit my own opportunities</t>
  </si>
  <si>
    <t xml:space="preserve">I can update information and keep the opportunity updated through the life cycle. </t>
  </si>
  <si>
    <t>Following attributes should be editable at any time:
 - end date
Following attributes cannot be edited if status = 'Pending Approval'
Opportunities belonging to others should not be editable by me.</t>
  </si>
  <si>
    <t>DM-5</t>
  </si>
  <si>
    <t>view stages for my own opportunities in a single dashboard</t>
  </si>
  <si>
    <t>I can measure progress and have an overall view of opportunities</t>
  </si>
  <si>
    <t>DM-7</t>
  </si>
  <si>
    <t>capture companies of interest - 
Name
Location
Industry (&amp; SIC)
Type
Revenue
Employees
Description
Website
Phone
Fax
Key contacts and contact information</t>
  </si>
  <si>
    <t>I can have one system of record for potential customers</t>
  </si>
  <si>
    <t>Any new company registration requires approval from area manager</t>
  </si>
  <si>
    <t>Sprint Tracker</t>
  </si>
  <si>
    <t>&lt;- effort / day -&gt;</t>
  </si>
  <si>
    <t>Backlog Id</t>
  </si>
  <si>
    <t>Description</t>
  </si>
  <si>
    <t>Completed</t>
  </si>
  <si>
    <t>Pending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</si>
  <si>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</si>
  <si>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</si>
  <si>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</si>
  <si>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</si>
  <si>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</si>
  <si>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</si>
  <si>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</si>
  <si>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</si>
  <si>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</si>
  <si>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</si>
  <si>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</si>
  <si>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Burn down</t>
  </si>
  <si>
    <t>Burn up</t>
  </si>
  <si>
    <t>Reports &amp; Dashboards</t>
  </si>
  <si>
    <t>Sprint Velocity</t>
  </si>
  <si>
    <t>Burn down Chart</t>
  </si>
  <si>
    <t>Burn up Chart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</si>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</sst>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"/>
    <numFmt numFmtId="167" formatCode="[$-14009]dd/mmm/yy"/>
  </numFmts>
  <fonts count="8">
    <font>
      <sz val="10.0"/>
      <color theme="1"/>
      <name val="Calibri"/>
      <scheme val="minor"/>
    </font>
    <font>
      <b/>
      <sz val="14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i/>
      <sz val="10.0"/>
      <color theme="1"/>
      <name val="Calibri"/>
    </font>
    <font>
      <sz val="8.0"/>
      <color rgb="FFBFBFBF"/>
      <name val="Calibri"/>
    </font>
    <font>
      <u/>
      <sz val="10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C8C8C8"/>
        <bgColor rgb="FFC8C8C8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</border>
    <border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2" fillId="3" fontId="0" numFmtId="0" xfId="0" applyAlignment="1" applyBorder="1" applyFill="1" applyFont="1">
      <alignment horizontal="center" readingOrder="0" shrinkToFit="0" vertical="center" wrapText="1"/>
    </xf>
    <xf borderId="2" fillId="3" fontId="0" numFmtId="166" xfId="0" applyAlignment="1" applyBorder="1" applyFont="1" applyNumberFormat="1">
      <alignment horizontal="center" readingOrder="0" shrinkToFit="0" vertical="center" wrapText="1"/>
    </xf>
    <xf borderId="3" fillId="3" fontId="0" numFmtId="0" xfId="0" applyAlignment="1" applyBorder="1" applyFont="1">
      <alignment horizontal="center" readingOrder="0" shrinkToFit="0" vertical="center" wrapText="1"/>
    </xf>
    <xf borderId="4" fillId="3" fontId="0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1" fillId="4" fontId="3" numFmtId="0" xfId="0" applyAlignment="1" applyBorder="1" applyFill="1" applyFont="1">
      <alignment horizontal="right" readingOrder="0"/>
    </xf>
    <xf borderId="1" fillId="0" fontId="2" numFmtId="0" xfId="0" applyAlignment="1" applyBorder="1" applyFont="1">
      <alignment readingOrder="0"/>
    </xf>
    <xf borderId="1" fillId="4" fontId="3" numFmtId="0" xfId="0" applyAlignment="1" applyBorder="1" applyFont="1">
      <alignment horizontal="right"/>
    </xf>
    <xf borderId="5" fillId="0" fontId="3" numFmtId="0" xfId="0" applyBorder="1" applyFont="1"/>
    <xf borderId="5" fillId="0" fontId="2" numFmtId="0" xfId="0" applyBorder="1" applyFont="1"/>
    <xf borderId="0" fillId="0" fontId="2" numFmtId="0" xfId="0" applyFont="1"/>
    <xf borderId="1" fillId="4" fontId="4" numFmtId="0" xfId="0" applyAlignment="1" applyBorder="1" applyFont="1">
      <alignment horizontal="right"/>
    </xf>
    <xf borderId="0" fillId="0" fontId="3" numFmtId="0" xfId="0" applyFont="1"/>
    <xf borderId="0" fillId="0" fontId="5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6" fillId="6" fontId="2" numFmtId="0" xfId="0" applyAlignment="1" applyBorder="1" applyFont="1">
      <alignment horizontal="center" readingOrder="0" shrinkToFit="0" vertical="center" wrapText="1"/>
    </xf>
    <xf borderId="1" fillId="0" fontId="2" numFmtId="167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vertical="top"/>
    </xf>
    <xf borderId="1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0" fillId="0" fontId="6" numFmtId="0" xfId="0" applyAlignment="1" applyFont="1">
      <alignment horizontal="left"/>
    </xf>
    <xf borderId="1" fillId="5" fontId="2" numFmtId="0" xfId="0" applyAlignment="1" applyBorder="1" applyFont="1">
      <alignment horizontal="center" shrinkToFit="0" textRotation="90" vertical="center" wrapText="1"/>
    </xf>
    <xf borderId="1" fillId="8" fontId="2" numFmtId="0" xfId="0" applyAlignment="1" applyBorder="1" applyFill="1" applyFont="1">
      <alignment horizontal="center"/>
    </xf>
    <xf borderId="6" fillId="8" fontId="2" numFmtId="0" xfId="0" applyBorder="1" applyFont="1"/>
    <xf borderId="1" fillId="8" fontId="2" numFmtId="0" xfId="0" applyBorder="1" applyFont="1"/>
    <xf borderId="6" fillId="9" fontId="2" numFmtId="0" xfId="0" applyBorder="1" applyFill="1" applyFont="1"/>
    <xf borderId="1" fillId="9" fontId="4" numFmtId="0" xfId="0" applyAlignment="1" applyBorder="1" applyFont="1">
      <alignment horizontal="right"/>
    </xf>
    <xf borderId="1" fillId="9" fontId="2" numFmtId="0" xfId="0" applyAlignment="1" applyBorder="1" applyFont="1">
      <alignment horizontal="center"/>
    </xf>
    <xf borderId="0" fillId="0" fontId="4" numFmtId="0" xfId="0" applyFont="1"/>
    <xf borderId="1" fillId="10" fontId="2" numFmtId="0" xfId="0" applyBorder="1" applyFill="1" applyFont="1"/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 Light"/>
              </a:defRPr>
            </a:pPr>
            <a:r>
              <a:rPr b="1" i="0" sz="1200">
                <a:solidFill>
                  <a:srgbClr val="000000"/>
                </a:solidFill>
                <a:latin typeface="Calibri Light"/>
              </a:rPr>
              <a:t>Sprint Velocity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Story Points (Committed)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Main!$I$25:$I$29</c:f>
            </c:strRef>
          </c:cat>
          <c:val>
            <c:numRef>
              <c:f>Main!$M$25:$M$29</c:f>
              <c:numCache/>
            </c:numRef>
          </c:val>
        </c:ser>
        <c:ser>
          <c:idx val="1"/>
          <c:order val="1"/>
          <c:tx>
            <c:v>Story Points (Delivered)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Main!$I$25:$I$29</c:f>
            </c:strRef>
          </c:cat>
          <c:val>
            <c:numRef>
              <c:f>Main!$N$25:$N$29</c:f>
              <c:numCache/>
            </c:numRef>
          </c:val>
        </c:ser>
        <c:axId val="1745160520"/>
        <c:axId val="2075656864"/>
      </c:barChart>
      <c:catAx>
        <c:axId val="174516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5656864"/>
      </c:catAx>
      <c:valAx>
        <c:axId val="2075656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51605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Calibri Light"/>
              </a:defRPr>
            </a:pPr>
            <a:r>
              <a:rPr b="1" i="0" sz="1200">
                <a:solidFill>
                  <a:schemeClr val="dk1"/>
                </a:solidFill>
                <a:latin typeface="Calibri Light"/>
              </a:rPr>
              <a:t>Burn Down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Tracker!$J$7:$S$7</c:f>
            </c:strRef>
          </c:cat>
          <c:val>
            <c:numRef>
              <c:f>Tracker!$J$39:$S$39</c:f>
              <c:numCache/>
            </c:numRef>
          </c:val>
          <c:smooth val="0"/>
        </c:ser>
        <c:axId val="1694226850"/>
        <c:axId val="653499023"/>
      </c:lineChart>
      <c:catAx>
        <c:axId val="1694226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653499023"/>
      </c:catAx>
      <c:valAx>
        <c:axId val="653499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94226850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dk1"/>
                </a:solidFill>
                <a:latin typeface="Calibri Light"/>
              </a:defRPr>
            </a:pPr>
            <a:r>
              <a:rPr b="1" i="0" sz="1200">
                <a:solidFill>
                  <a:schemeClr val="dk1"/>
                </a:solidFill>
                <a:latin typeface="Calibri Light"/>
              </a:rPr>
              <a:t>Burn Up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Tracker!$J$7:$S$7</c:f>
            </c:strRef>
          </c:cat>
          <c:val>
            <c:numRef>
              <c:f>Tracker!$J$40:$S$40</c:f>
              <c:numCache/>
            </c:numRef>
          </c:val>
          <c:smooth val="0"/>
        </c:ser>
        <c:axId val="1273648374"/>
        <c:axId val="1339688946"/>
      </c:lineChart>
      <c:catAx>
        <c:axId val="1273648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339688946"/>
      </c:catAx>
      <c:valAx>
        <c:axId val="1339688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273648374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114300</xdr:rowOff>
    </xdr:from>
    <xdr:ext cx="4638675" cy="2905125"/>
    <xdr:graphicFrame>
      <xdr:nvGraphicFramePr>
        <xdr:cNvPr id="4011924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30</xdr:row>
      <xdr:rowOff>104775</xdr:rowOff>
    </xdr:from>
    <xdr:ext cx="4648200" cy="3133725"/>
    <xdr:graphicFrame>
      <xdr:nvGraphicFramePr>
        <xdr:cNvPr id="75876613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581025</xdr:colOff>
      <xdr:row>30</xdr:row>
      <xdr:rowOff>76200</xdr:rowOff>
    </xdr:from>
    <xdr:ext cx="4619625" cy="3133725"/>
    <xdr:graphicFrame>
      <xdr:nvGraphicFramePr>
        <xdr:cNvPr id="16901990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rumalliance.org/community/articles/2007/march/glossary-of-scrum-terms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9.14"/>
    <col customWidth="1" min="3" max="3" width="22.43"/>
    <col customWidth="1" min="4" max="4" width="15.0"/>
    <col customWidth="1" min="5" max="5" width="13.29"/>
    <col customWidth="1" min="6" max="6" width="14.0"/>
    <col customWidth="1" min="7" max="7" width="19.86"/>
    <col customWidth="1" min="8" max="9" width="17.71"/>
    <col customWidth="1" min="10" max="10" width="49.29"/>
    <col customWidth="1" min="11" max="11" width="14.43"/>
    <col customWidth="1" min="12" max="12" width="46.71"/>
    <col customWidth="1" min="13" max="26" width="8.71"/>
  </cols>
  <sheetData>
    <row r="1" ht="12.75" customHeight="1"/>
    <row r="2" ht="12.75" customHeight="1"/>
    <row r="3" ht="12.75" customHeight="1"/>
    <row r="4" ht="12.75" customHeight="1"/>
    <row r="5" ht="12.75" customHeight="1">
      <c r="B5" s="1" t="s">
        <v>0</v>
      </c>
    </row>
    <row r="6" ht="12.75" customHeight="1">
      <c r="B6" s="2"/>
    </row>
    <row r="7" ht="12.75" customHeight="1">
      <c r="B7" s="3" t="s">
        <v>1</v>
      </c>
      <c r="C7" s="4" t="s">
        <v>2</v>
      </c>
      <c r="D7" s="4" t="s">
        <v>3</v>
      </c>
      <c r="E7" s="4" t="s">
        <v>4</v>
      </c>
      <c r="F7" s="3" t="s">
        <v>5</v>
      </c>
      <c r="G7" s="4" t="s">
        <v>6</v>
      </c>
      <c r="H7" s="4" t="s">
        <v>7</v>
      </c>
      <c r="I7" s="3" t="s">
        <v>8</v>
      </c>
      <c r="J7" s="4" t="s">
        <v>9</v>
      </c>
      <c r="K7" s="4" t="s">
        <v>10</v>
      </c>
      <c r="L7" s="4" t="s">
        <v>11</v>
      </c>
    </row>
    <row r="8" ht="12.75" customHeight="1">
      <c r="B8" s="5">
        <v>1.0</v>
      </c>
      <c r="C8" s="6" t="s">
        <v>12</v>
      </c>
      <c r="D8" s="5" t="s">
        <v>13</v>
      </c>
      <c r="E8" s="7">
        <v>45919.0</v>
      </c>
      <c r="F8" s="5">
        <v>1.0</v>
      </c>
      <c r="G8" s="6" t="s">
        <v>14</v>
      </c>
      <c r="H8" s="5" t="s">
        <v>13</v>
      </c>
      <c r="I8" s="5" t="s">
        <v>15</v>
      </c>
      <c r="J8" s="6" t="s">
        <v>16</v>
      </c>
      <c r="K8" s="7">
        <v>45920.0</v>
      </c>
      <c r="L8" s="6" t="s">
        <v>17</v>
      </c>
    </row>
    <row r="9" ht="12.75" customHeight="1">
      <c r="B9" s="5">
        <v>2.0</v>
      </c>
      <c r="C9" s="6" t="s">
        <v>18</v>
      </c>
      <c r="D9" s="5" t="s">
        <v>19</v>
      </c>
      <c r="E9" s="7">
        <v>45917.0</v>
      </c>
      <c r="F9" s="5">
        <v>1.0</v>
      </c>
      <c r="G9" s="6" t="s">
        <v>20</v>
      </c>
      <c r="H9" s="5" t="s">
        <v>19</v>
      </c>
      <c r="I9" s="5" t="s">
        <v>15</v>
      </c>
      <c r="J9" s="5" t="s">
        <v>21</v>
      </c>
      <c r="K9" s="7">
        <v>45924.0</v>
      </c>
      <c r="L9" s="6" t="s">
        <v>22</v>
      </c>
    </row>
    <row r="10" ht="12.75" customHeight="1">
      <c r="B10" s="5">
        <v>3.0</v>
      </c>
      <c r="C10" s="6" t="s">
        <v>23</v>
      </c>
      <c r="D10" s="5" t="s">
        <v>13</v>
      </c>
      <c r="E10" s="7">
        <v>45925.0</v>
      </c>
      <c r="F10" s="5">
        <v>1.0</v>
      </c>
      <c r="G10" s="6" t="s">
        <v>24</v>
      </c>
      <c r="H10" s="6" t="s">
        <v>13</v>
      </c>
      <c r="I10" s="6" t="s">
        <v>15</v>
      </c>
      <c r="J10" s="6" t="s">
        <v>25</v>
      </c>
      <c r="K10" s="7">
        <v>45926.0</v>
      </c>
      <c r="L10" s="6" t="s">
        <v>26</v>
      </c>
    </row>
    <row r="11" ht="12.75" customHeight="1">
      <c r="B11" s="6">
        <v>4.0</v>
      </c>
      <c r="C11" s="6" t="s">
        <v>27</v>
      </c>
      <c r="D11" s="6" t="s">
        <v>13</v>
      </c>
      <c r="E11" s="8">
        <v>45939.0</v>
      </c>
      <c r="F11" s="6">
        <v>2.0</v>
      </c>
      <c r="G11" s="6" t="s">
        <v>28</v>
      </c>
      <c r="H11" s="6" t="s">
        <v>13</v>
      </c>
      <c r="I11" s="6" t="s">
        <v>15</v>
      </c>
      <c r="J11" s="6" t="s">
        <v>29</v>
      </c>
      <c r="K11" s="8">
        <v>45939.0</v>
      </c>
      <c r="L11" s="6" t="s">
        <v>30</v>
      </c>
    </row>
    <row r="12" ht="12.75" customHeight="1">
      <c r="B12" s="6">
        <v>5.0</v>
      </c>
      <c r="C12" s="6" t="s">
        <v>31</v>
      </c>
      <c r="D12" s="6" t="s">
        <v>32</v>
      </c>
      <c r="E12" s="8">
        <v>45920.0</v>
      </c>
      <c r="F12" s="6">
        <v>2.0</v>
      </c>
      <c r="G12" s="6" t="s">
        <v>33</v>
      </c>
      <c r="H12" s="6" t="s">
        <v>32</v>
      </c>
      <c r="I12" s="6" t="s">
        <v>15</v>
      </c>
      <c r="J12" s="6" t="s">
        <v>34</v>
      </c>
      <c r="K12" s="8">
        <v>45929.0</v>
      </c>
      <c r="L12" s="6" t="s">
        <v>35</v>
      </c>
    </row>
    <row r="13" ht="12.75" customHeight="1">
      <c r="B13" s="6">
        <v>6.0</v>
      </c>
      <c r="C13" s="6" t="s">
        <v>36</v>
      </c>
      <c r="D13" s="6" t="s">
        <v>32</v>
      </c>
      <c r="E13" s="9">
        <v>45949.0</v>
      </c>
      <c r="F13" s="6">
        <v>2.0</v>
      </c>
      <c r="G13" s="6" t="s">
        <v>37</v>
      </c>
      <c r="H13" s="6" t="s">
        <v>32</v>
      </c>
      <c r="I13" s="6" t="s">
        <v>15</v>
      </c>
      <c r="J13" s="6" t="s">
        <v>38</v>
      </c>
      <c r="K13" s="8">
        <v>45921.0</v>
      </c>
      <c r="L13" s="6" t="s">
        <v>39</v>
      </c>
    </row>
    <row r="14" ht="12.75" customHeight="1">
      <c r="B14" s="5">
        <v>7.0</v>
      </c>
      <c r="C14" s="6" t="s">
        <v>40</v>
      </c>
      <c r="D14" s="6" t="s">
        <v>41</v>
      </c>
      <c r="E14" s="9">
        <v>45951.0</v>
      </c>
      <c r="F14" s="6">
        <v>2.0</v>
      </c>
      <c r="G14" s="6" t="s">
        <v>42</v>
      </c>
      <c r="H14" s="6" t="s">
        <v>13</v>
      </c>
      <c r="I14" s="6" t="s">
        <v>15</v>
      </c>
      <c r="J14" s="6" t="s">
        <v>43</v>
      </c>
      <c r="K14" s="8">
        <v>45951.0</v>
      </c>
      <c r="L14" s="6" t="s">
        <v>44</v>
      </c>
    </row>
    <row r="15" ht="12.75" customHeight="1">
      <c r="B15" s="5">
        <v>8.0</v>
      </c>
      <c r="C15" s="6" t="s">
        <v>45</v>
      </c>
      <c r="D15" s="6" t="s">
        <v>32</v>
      </c>
      <c r="E15" s="9">
        <v>45955.0</v>
      </c>
      <c r="F15" s="6">
        <v>3.0</v>
      </c>
      <c r="G15" s="6" t="s">
        <v>46</v>
      </c>
      <c r="H15" s="6" t="s">
        <v>32</v>
      </c>
      <c r="I15" s="6" t="s">
        <v>15</v>
      </c>
      <c r="J15" s="6" t="s">
        <v>47</v>
      </c>
      <c r="K15" s="8">
        <v>45973.0</v>
      </c>
      <c r="L15" s="6" t="s">
        <v>48</v>
      </c>
    </row>
    <row r="16" ht="12.75" customHeight="1">
      <c r="B16" s="5">
        <v>9.0</v>
      </c>
      <c r="C16" s="10" t="s">
        <v>49</v>
      </c>
      <c r="D16" s="10" t="s">
        <v>19</v>
      </c>
      <c r="E16" s="11">
        <v>45960.0</v>
      </c>
      <c r="F16" s="10">
        <v>3.0</v>
      </c>
      <c r="G16" s="10" t="s">
        <v>50</v>
      </c>
      <c r="H16" s="10" t="s">
        <v>13</v>
      </c>
      <c r="I16" s="12" t="s">
        <v>15</v>
      </c>
      <c r="J16" s="13" t="s">
        <v>51</v>
      </c>
      <c r="K16" s="11">
        <v>45960.0</v>
      </c>
      <c r="L16" s="10" t="s">
        <v>52</v>
      </c>
    </row>
    <row r="17" ht="12.75" customHeight="1">
      <c r="B17" s="6">
        <v>10.0</v>
      </c>
      <c r="C17" s="6"/>
      <c r="D17" s="6"/>
      <c r="E17" s="9"/>
      <c r="F17" s="6"/>
      <c r="G17" s="6"/>
      <c r="H17" s="6"/>
      <c r="I17" s="6"/>
      <c r="J17" s="6"/>
      <c r="K17" s="8"/>
      <c r="L17" s="6"/>
    </row>
    <row r="18" ht="12.75" customHeight="1">
      <c r="B18" s="6">
        <v>11.0</v>
      </c>
      <c r="C18" s="6"/>
      <c r="D18" s="6"/>
      <c r="E18" s="9"/>
      <c r="F18" s="6"/>
      <c r="G18" s="6"/>
      <c r="H18" s="6"/>
      <c r="I18" s="6"/>
      <c r="J18" s="6"/>
      <c r="K18" s="8"/>
      <c r="L18" s="6"/>
    </row>
    <row r="19" ht="12.75" customHeight="1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ht="12.75" customHeight="1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ht="12.75" customHeight="1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ht="12.75" customHeight="1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ht="12.75" customHeight="1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ht="12.75" customHeight="1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ht="12.75" customHeight="1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ht="12.75" customHeight="1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ht="12.75" customHeight="1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ht="12.75" customHeight="1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ht="12.7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ht="12.7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ht="12.75" customHeight="1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ht="12.75" customHeight="1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ht="12.75" customHeight="1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ht="12.75" customHeight="1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ht="12.75" customHeight="1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ht="12.75" customHeight="1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ht="12.75" customHeight="1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ht="12.75" customHeight="1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ht="12.75" customHeight="1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ht="12.75" customHeight="1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ht="12.75" customHeight="1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ht="12.75" customHeight="1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ht="12.75" customHeight="1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ht="12.75" customHeight="1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7:$L$1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15.0"/>
    <col customWidth="1" min="3" max="3" width="24.86"/>
    <col customWidth="1" min="4" max="4" width="15.57"/>
    <col customWidth="1" min="5" max="5" width="17.29"/>
    <col customWidth="1" min="6" max="6" width="26.43"/>
    <col customWidth="1" min="7" max="7" width="35.0"/>
    <col customWidth="1" min="8" max="9" width="8.71"/>
    <col customWidth="1" min="10" max="11" width="12.71"/>
    <col customWidth="1" min="12" max="12" width="13.71"/>
    <col customWidth="1" min="13" max="14" width="12.57"/>
    <col customWidth="1" min="15" max="15" width="31.86"/>
    <col customWidth="1" min="16" max="26" width="8.71"/>
  </cols>
  <sheetData>
    <row r="1" ht="12.75" customHeight="1"/>
    <row r="2" ht="12.75" customHeight="1"/>
    <row r="3" ht="12.75" customHeight="1"/>
    <row r="4" ht="12.75" customHeight="1"/>
    <row r="5" ht="12.75" customHeight="1">
      <c r="B5" s="2" t="s">
        <v>53</v>
      </c>
    </row>
    <row r="6" ht="12.75" customHeight="1"/>
    <row r="7" ht="12.75" customHeight="1">
      <c r="B7" s="15" t="s">
        <v>54</v>
      </c>
      <c r="C7" s="16" t="s">
        <v>55</v>
      </c>
      <c r="E7" s="17" t="s">
        <v>56</v>
      </c>
      <c r="F7" s="14"/>
    </row>
    <row r="8" ht="12.75" customHeight="1">
      <c r="B8" s="15" t="s">
        <v>57</v>
      </c>
      <c r="C8" s="16" t="s">
        <v>58</v>
      </c>
      <c r="E8" s="17" t="s">
        <v>59</v>
      </c>
      <c r="F8" s="14"/>
    </row>
    <row r="9" ht="12.75" customHeight="1"/>
    <row r="10" ht="12.75" customHeight="1">
      <c r="B10" s="18" t="s">
        <v>60</v>
      </c>
      <c r="C10" s="19"/>
      <c r="D10" s="20"/>
      <c r="E10" s="19"/>
      <c r="F10" s="19"/>
    </row>
    <row r="11" ht="12.75" customHeight="1">
      <c r="B11" s="21" t="s">
        <v>61</v>
      </c>
      <c r="C11" s="16" t="s">
        <v>62</v>
      </c>
      <c r="D11" s="20"/>
      <c r="E11" s="21" t="s">
        <v>63</v>
      </c>
      <c r="F11" s="16" t="s">
        <v>19</v>
      </c>
    </row>
    <row r="12" ht="12.75" customHeight="1">
      <c r="B12" s="21" t="s">
        <v>64</v>
      </c>
      <c r="C12" s="16" t="s">
        <v>32</v>
      </c>
      <c r="D12" s="20"/>
      <c r="E12" s="21" t="s">
        <v>65</v>
      </c>
      <c r="F12" s="14"/>
    </row>
    <row r="13" ht="12.75" customHeight="1">
      <c r="B13" s="20"/>
      <c r="C13" s="14"/>
      <c r="D13" s="20"/>
      <c r="E13" s="21" t="s">
        <v>66</v>
      </c>
      <c r="F13" s="14"/>
    </row>
    <row r="14" ht="12.75" customHeight="1">
      <c r="B14" s="20"/>
      <c r="C14" s="14"/>
      <c r="D14" s="20"/>
      <c r="E14" s="20"/>
      <c r="F14" s="14"/>
    </row>
    <row r="15" ht="12.75" customHeight="1">
      <c r="B15" s="20"/>
      <c r="C15" s="14"/>
      <c r="D15" s="20"/>
      <c r="E15" s="20"/>
      <c r="F15" s="14"/>
    </row>
    <row r="16" ht="12.75" customHeight="1">
      <c r="B16" s="20"/>
      <c r="C16" s="14"/>
      <c r="D16" s="20"/>
      <c r="E16" s="20"/>
      <c r="F16" s="14"/>
    </row>
    <row r="17" ht="12.75" customHeight="1">
      <c r="B17" s="20"/>
      <c r="C17" s="14"/>
      <c r="D17" s="20"/>
      <c r="E17" s="20"/>
      <c r="F17" s="14"/>
    </row>
    <row r="18" ht="12.75" customHeight="1">
      <c r="B18" s="20"/>
      <c r="C18" s="14"/>
      <c r="D18" s="20"/>
      <c r="E18" s="20"/>
      <c r="F18" s="14"/>
    </row>
    <row r="19" ht="12.75" customHeight="1"/>
    <row r="20" ht="12.75" customHeight="1"/>
    <row r="21" ht="12.75" customHeight="1"/>
    <row r="22" ht="12.75" customHeight="1">
      <c r="B22" s="22"/>
    </row>
    <row r="23" ht="12.75" customHeight="1">
      <c r="B23" s="22" t="s">
        <v>67</v>
      </c>
      <c r="I23" s="22" t="s">
        <v>68</v>
      </c>
      <c r="K23" s="23" t="s">
        <v>69</v>
      </c>
    </row>
    <row r="24" ht="12.75" customHeight="1">
      <c r="A24" s="24"/>
      <c r="B24" s="25" t="s">
        <v>1</v>
      </c>
      <c r="C24" s="26" t="s">
        <v>2</v>
      </c>
      <c r="D24" s="26" t="s">
        <v>70</v>
      </c>
      <c r="E24" s="26" t="s">
        <v>71</v>
      </c>
      <c r="F24" s="25" t="s">
        <v>8</v>
      </c>
      <c r="G24" s="26" t="s">
        <v>72</v>
      </c>
      <c r="H24" s="27"/>
      <c r="I24" s="28" t="s">
        <v>73</v>
      </c>
      <c r="J24" s="29" t="s">
        <v>74</v>
      </c>
      <c r="K24" s="29" t="s">
        <v>75</v>
      </c>
      <c r="L24" s="28" t="s">
        <v>8</v>
      </c>
      <c r="M24" s="28" t="s">
        <v>76</v>
      </c>
      <c r="N24" s="28" t="s">
        <v>77</v>
      </c>
      <c r="O24" s="29" t="s">
        <v>72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B25" s="14">
        <v>1.0</v>
      </c>
      <c r="C25" s="14" t="s">
        <v>78</v>
      </c>
      <c r="D25" s="30">
        <v>43472.0</v>
      </c>
      <c r="E25" s="30">
        <v>43539.0</v>
      </c>
      <c r="F25" s="31" t="s">
        <v>79</v>
      </c>
      <c r="G25" s="32"/>
      <c r="I25" s="33" t="s">
        <v>80</v>
      </c>
      <c r="J25" s="30">
        <v>43472.0</v>
      </c>
      <c r="K25" s="30">
        <f t="shared" ref="K25:K29" si="1">J25+11</f>
        <v>43483</v>
      </c>
      <c r="L25" s="31" t="s">
        <v>81</v>
      </c>
      <c r="M25" s="31">
        <v>22.0</v>
      </c>
      <c r="N25" s="31">
        <v>20.0</v>
      </c>
      <c r="O25" s="31"/>
    </row>
    <row r="26" ht="12.75" customHeight="1">
      <c r="B26" s="14"/>
      <c r="C26" s="14"/>
      <c r="D26" s="31"/>
      <c r="E26" s="31"/>
      <c r="F26" s="31"/>
      <c r="G26" s="32"/>
      <c r="I26" s="33" t="s">
        <v>82</v>
      </c>
      <c r="J26" s="30">
        <f t="shared" ref="J26:J29" si="2">K25+3</f>
        <v>43486</v>
      </c>
      <c r="K26" s="30">
        <f t="shared" si="1"/>
        <v>43497</v>
      </c>
      <c r="L26" s="31" t="s">
        <v>81</v>
      </c>
      <c r="M26" s="31">
        <v>20.0</v>
      </c>
      <c r="N26" s="31">
        <v>23.0</v>
      </c>
      <c r="O26" s="31"/>
    </row>
    <row r="27" ht="12.75" customHeight="1">
      <c r="B27" s="14"/>
      <c r="C27" s="14"/>
      <c r="D27" s="31"/>
      <c r="E27" s="31"/>
      <c r="F27" s="31"/>
      <c r="G27" s="32"/>
      <c r="I27" s="33" t="s">
        <v>83</v>
      </c>
      <c r="J27" s="30">
        <f t="shared" si="2"/>
        <v>43500</v>
      </c>
      <c r="K27" s="30">
        <f t="shared" si="1"/>
        <v>43511</v>
      </c>
      <c r="L27" s="31" t="s">
        <v>81</v>
      </c>
      <c r="M27" s="31">
        <v>19.0</v>
      </c>
      <c r="N27" s="31">
        <v>15.0</v>
      </c>
      <c r="O27" s="31"/>
    </row>
    <row r="28" ht="12.75" customHeight="1">
      <c r="B28" s="14"/>
      <c r="C28" s="14"/>
      <c r="D28" s="31"/>
      <c r="E28" s="31"/>
      <c r="F28" s="31"/>
      <c r="G28" s="32"/>
      <c r="I28" s="33" t="s">
        <v>84</v>
      </c>
      <c r="J28" s="30">
        <f t="shared" si="2"/>
        <v>43514</v>
      </c>
      <c r="K28" s="30">
        <f t="shared" si="1"/>
        <v>43525</v>
      </c>
      <c r="L28" s="31" t="s">
        <v>81</v>
      </c>
      <c r="M28" s="31">
        <v>25.0</v>
      </c>
      <c r="N28" s="31">
        <v>27.0</v>
      </c>
      <c r="O28" s="31"/>
    </row>
    <row r="29" ht="12.75" customHeight="1">
      <c r="B29" s="14"/>
      <c r="C29" s="14"/>
      <c r="D29" s="31"/>
      <c r="E29" s="31"/>
      <c r="F29" s="31"/>
      <c r="G29" s="32"/>
      <c r="I29" s="33" t="s">
        <v>85</v>
      </c>
      <c r="J29" s="30">
        <f t="shared" si="2"/>
        <v>43528</v>
      </c>
      <c r="K29" s="30">
        <f t="shared" si="1"/>
        <v>43539</v>
      </c>
      <c r="L29" s="31" t="s">
        <v>79</v>
      </c>
      <c r="M29" s="31">
        <v>20.0</v>
      </c>
      <c r="N29" s="31"/>
      <c r="O29" s="31"/>
    </row>
    <row r="30" ht="12.75" customHeight="1">
      <c r="B30" s="14"/>
      <c r="C30" s="14"/>
      <c r="D30" s="31"/>
      <c r="E30" s="31"/>
      <c r="F30" s="31"/>
      <c r="G30" s="32"/>
      <c r="I30" s="14"/>
      <c r="J30" s="30"/>
      <c r="K30" s="30"/>
      <c r="L30" s="31"/>
      <c r="M30" s="31"/>
      <c r="N30" s="31"/>
      <c r="O30" s="31"/>
    </row>
    <row r="31" ht="12.75" customHeight="1">
      <c r="B31" s="14"/>
      <c r="C31" s="14"/>
      <c r="D31" s="31"/>
      <c r="E31" s="31"/>
      <c r="F31" s="31"/>
      <c r="G31" s="32"/>
      <c r="I31" s="14"/>
      <c r="J31" s="30"/>
      <c r="K31" s="30"/>
      <c r="L31" s="31"/>
      <c r="M31" s="31"/>
      <c r="N31" s="31"/>
      <c r="O31" s="31"/>
    </row>
    <row r="32" ht="12.75" customHeight="1">
      <c r="B32" s="14"/>
      <c r="C32" s="14"/>
      <c r="D32" s="31"/>
      <c r="E32" s="31"/>
      <c r="F32" s="31"/>
      <c r="G32" s="32"/>
      <c r="I32" s="14"/>
      <c r="J32" s="30"/>
      <c r="K32" s="30"/>
      <c r="L32" s="31"/>
      <c r="M32" s="31"/>
      <c r="N32" s="31"/>
      <c r="O32" s="31"/>
    </row>
    <row r="33" ht="12.75" customHeight="1">
      <c r="B33" s="14"/>
      <c r="C33" s="14"/>
      <c r="D33" s="31"/>
      <c r="E33" s="31"/>
      <c r="F33" s="31"/>
      <c r="G33" s="32"/>
      <c r="I33" s="14"/>
      <c r="J33" s="30"/>
      <c r="K33" s="30"/>
      <c r="L33" s="31"/>
      <c r="M33" s="31"/>
      <c r="N33" s="31"/>
      <c r="O33" s="31"/>
    </row>
    <row r="34" ht="12.75" customHeight="1">
      <c r="B34" s="14"/>
      <c r="C34" s="14"/>
      <c r="D34" s="31"/>
      <c r="E34" s="31"/>
      <c r="F34" s="31"/>
      <c r="G34" s="32"/>
      <c r="I34" s="14"/>
      <c r="J34" s="30"/>
      <c r="K34" s="30"/>
      <c r="L34" s="31"/>
      <c r="M34" s="31"/>
      <c r="N34" s="31"/>
      <c r="O34" s="31"/>
    </row>
    <row r="35" ht="12.75" customHeight="1">
      <c r="B35" s="14"/>
      <c r="C35" s="14"/>
      <c r="D35" s="31"/>
      <c r="E35" s="31"/>
      <c r="F35" s="31"/>
      <c r="G35" s="32"/>
      <c r="I35" s="14"/>
      <c r="J35" s="30"/>
      <c r="K35" s="30"/>
      <c r="L35" s="31"/>
      <c r="M35" s="31"/>
      <c r="N35" s="31"/>
      <c r="O35" s="31"/>
    </row>
    <row r="36" ht="12.75" customHeight="1">
      <c r="B36" s="14"/>
      <c r="C36" s="14"/>
      <c r="D36" s="31"/>
      <c r="E36" s="31"/>
      <c r="F36" s="31"/>
      <c r="G36" s="32"/>
      <c r="I36" s="14"/>
      <c r="J36" s="30"/>
      <c r="K36" s="30"/>
      <c r="L36" s="31"/>
      <c r="M36" s="31"/>
      <c r="N36" s="31"/>
      <c r="O36" s="31"/>
    </row>
    <row r="37" ht="12.75" customHeight="1">
      <c r="B37" s="14"/>
      <c r="C37" s="14"/>
      <c r="D37" s="31"/>
      <c r="E37" s="31"/>
      <c r="F37" s="31"/>
      <c r="G37" s="32"/>
      <c r="I37" s="14"/>
      <c r="J37" s="30"/>
      <c r="K37" s="30"/>
      <c r="L37" s="31"/>
      <c r="M37" s="31"/>
      <c r="N37" s="31"/>
      <c r="O37" s="31"/>
    </row>
    <row r="38" ht="12.75" customHeight="1">
      <c r="B38" s="14"/>
      <c r="C38" s="14"/>
      <c r="D38" s="31"/>
      <c r="E38" s="31"/>
      <c r="F38" s="31"/>
      <c r="G38" s="32"/>
      <c r="I38" s="14"/>
      <c r="J38" s="30"/>
      <c r="K38" s="30"/>
      <c r="L38" s="31"/>
      <c r="M38" s="31"/>
      <c r="N38" s="31"/>
      <c r="O38" s="31"/>
    </row>
    <row r="39" ht="12.75" customHeight="1">
      <c r="B39" s="14"/>
      <c r="C39" s="14"/>
      <c r="D39" s="14"/>
      <c r="E39" s="14"/>
      <c r="F39" s="31"/>
      <c r="G39" s="32"/>
      <c r="I39" s="14"/>
      <c r="J39" s="30"/>
      <c r="K39" s="30"/>
      <c r="L39" s="31"/>
      <c r="M39" s="31"/>
      <c r="N39" s="31"/>
      <c r="O39" s="31"/>
    </row>
    <row r="40" ht="12.75" customHeight="1">
      <c r="B40" s="14"/>
      <c r="C40" s="14"/>
      <c r="D40" s="14"/>
      <c r="E40" s="14"/>
      <c r="F40" s="31"/>
      <c r="G40" s="32"/>
      <c r="I40" s="14"/>
      <c r="J40" s="30"/>
      <c r="K40" s="30"/>
      <c r="L40" s="31"/>
      <c r="M40" s="31"/>
      <c r="N40" s="31"/>
      <c r="O40" s="31"/>
    </row>
    <row r="41" ht="12.75" customHeight="1">
      <c r="G41" s="34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3.14"/>
    <col customWidth="1" min="2" max="2" width="11.71"/>
    <col customWidth="1" min="3" max="3" width="12.57"/>
    <col customWidth="1" min="4" max="4" width="21.71"/>
    <col customWidth="1" min="5" max="7" width="33.86"/>
    <col customWidth="1" min="8" max="8" width="21.71"/>
    <col customWidth="1" min="9" max="10" width="11.29"/>
    <col customWidth="1" min="11" max="13" width="8.71"/>
    <col customWidth="1" min="14" max="15" width="14.29"/>
    <col customWidth="1" min="16" max="16" width="12.0"/>
    <col customWidth="1" min="17" max="17" width="8.71"/>
    <col customWidth="1" min="18" max="18" width="40.14"/>
    <col customWidth="1" min="19" max="26" width="8.71"/>
  </cols>
  <sheetData>
    <row r="1" ht="12.75" customHeight="1">
      <c r="E1" s="35"/>
      <c r="F1" s="35"/>
      <c r="G1" s="35"/>
      <c r="H1" s="34"/>
    </row>
    <row r="2" ht="12.75" customHeight="1">
      <c r="E2" s="35"/>
      <c r="F2" s="35"/>
      <c r="G2" s="35"/>
      <c r="H2" s="34"/>
    </row>
    <row r="3" ht="12.75" customHeight="1">
      <c r="E3" s="35"/>
      <c r="F3" s="35"/>
      <c r="G3" s="35"/>
      <c r="H3" s="34"/>
    </row>
    <row r="4" ht="12.75" customHeight="1">
      <c r="E4" s="35"/>
      <c r="F4" s="35"/>
      <c r="G4" s="35"/>
      <c r="H4" s="34"/>
    </row>
    <row r="5" ht="12.75" customHeight="1">
      <c r="B5" s="2" t="s">
        <v>86</v>
      </c>
      <c r="E5" s="35"/>
      <c r="F5" s="35"/>
      <c r="G5" s="35"/>
      <c r="H5" s="34"/>
    </row>
    <row r="6" ht="12.75" customHeight="1">
      <c r="E6" s="35"/>
      <c r="F6" s="35"/>
      <c r="G6" s="35"/>
      <c r="H6" s="34"/>
    </row>
    <row r="7" ht="12.75" customHeight="1">
      <c r="A7" s="24"/>
      <c r="B7" s="3" t="s">
        <v>1</v>
      </c>
      <c r="C7" s="3" t="s">
        <v>87</v>
      </c>
      <c r="D7" s="3" t="s">
        <v>88</v>
      </c>
      <c r="E7" s="3" t="s">
        <v>89</v>
      </c>
      <c r="F7" s="3" t="s">
        <v>90</v>
      </c>
      <c r="G7" s="3" t="s">
        <v>91</v>
      </c>
      <c r="H7" s="3" t="s">
        <v>92</v>
      </c>
      <c r="I7" s="3" t="s">
        <v>93</v>
      </c>
      <c r="J7" s="3" t="s">
        <v>8</v>
      </c>
      <c r="K7" s="36" t="s">
        <v>94</v>
      </c>
      <c r="L7" s="36" t="s">
        <v>95</v>
      </c>
      <c r="M7" s="25" t="s">
        <v>96</v>
      </c>
      <c r="N7" s="25" t="s">
        <v>97</v>
      </c>
      <c r="O7" s="25" t="s">
        <v>98</v>
      </c>
      <c r="P7" s="25" t="s">
        <v>99</v>
      </c>
      <c r="Q7" s="25" t="s">
        <v>8</v>
      </c>
      <c r="R7" s="25" t="s">
        <v>92</v>
      </c>
      <c r="S7" s="24"/>
      <c r="T7" s="24"/>
      <c r="U7" s="24"/>
      <c r="V7" s="24"/>
      <c r="W7" s="24"/>
      <c r="X7" s="24"/>
      <c r="Y7" s="24"/>
      <c r="Z7" s="24"/>
    </row>
    <row r="8" ht="12.75" customHeight="1">
      <c r="B8" s="14" t="s">
        <v>100</v>
      </c>
      <c r="C8" s="14" t="s">
        <v>101</v>
      </c>
      <c r="D8" s="14" t="s">
        <v>102</v>
      </c>
      <c r="E8" s="37" t="s">
        <v>103</v>
      </c>
      <c r="F8" s="37" t="s">
        <v>104</v>
      </c>
      <c r="G8" s="37"/>
      <c r="H8" s="32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ht="12.75" customHeight="1">
      <c r="B9" s="14" t="s">
        <v>105</v>
      </c>
      <c r="C9" s="14" t="s">
        <v>101</v>
      </c>
      <c r="D9" s="14" t="s">
        <v>102</v>
      </c>
      <c r="E9" s="37" t="s">
        <v>106</v>
      </c>
      <c r="F9" s="37" t="s">
        <v>107</v>
      </c>
      <c r="G9" s="37" t="s">
        <v>108</v>
      </c>
      <c r="H9" s="32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ht="12.75" customHeight="1">
      <c r="B10" s="14" t="s">
        <v>109</v>
      </c>
      <c r="C10" s="14" t="s">
        <v>101</v>
      </c>
      <c r="D10" s="14" t="s">
        <v>102</v>
      </c>
      <c r="E10" s="37" t="s">
        <v>110</v>
      </c>
      <c r="F10" s="37" t="s">
        <v>111</v>
      </c>
      <c r="G10" s="37"/>
      <c r="H10" s="32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ht="12.75" customHeight="1">
      <c r="B11" s="14" t="s">
        <v>112</v>
      </c>
      <c r="C11" s="14" t="s">
        <v>101</v>
      </c>
      <c r="D11" s="14" t="s">
        <v>102</v>
      </c>
      <c r="E11" s="37" t="s">
        <v>113</v>
      </c>
      <c r="F11" s="37" t="s">
        <v>114</v>
      </c>
      <c r="G11" s="37" t="s">
        <v>115</v>
      </c>
      <c r="H11" s="32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ht="12.75" customHeight="1">
      <c r="B12" s="14"/>
      <c r="C12" s="14"/>
      <c r="D12" s="14"/>
      <c r="E12" s="37"/>
      <c r="F12" s="37"/>
      <c r="G12" s="37"/>
      <c r="H12" s="32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ht="12.75" customHeight="1">
      <c r="B13" s="14"/>
      <c r="C13" s="14"/>
      <c r="D13" s="14"/>
      <c r="E13" s="37"/>
      <c r="F13" s="37"/>
      <c r="G13" s="37"/>
      <c r="H13" s="32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12.75" customHeight="1">
      <c r="B14" s="14"/>
      <c r="C14" s="14"/>
      <c r="D14" s="14"/>
      <c r="E14" s="37"/>
      <c r="F14" s="37"/>
      <c r="G14" s="37"/>
      <c r="H14" s="32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ht="12.75" customHeight="1">
      <c r="B15" s="14"/>
      <c r="C15" s="14"/>
      <c r="D15" s="14"/>
      <c r="E15" s="37"/>
      <c r="F15" s="37"/>
      <c r="G15" s="37"/>
      <c r="H15" s="32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ht="12.75" customHeight="1">
      <c r="B16" s="14"/>
      <c r="C16" s="14"/>
      <c r="D16" s="14"/>
      <c r="E16" s="37"/>
      <c r="F16" s="37"/>
      <c r="G16" s="37"/>
      <c r="H16" s="32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ht="12.75" customHeight="1">
      <c r="B17" s="14"/>
      <c r="C17" s="14"/>
      <c r="D17" s="14"/>
      <c r="E17" s="37"/>
      <c r="F17" s="37"/>
      <c r="G17" s="37"/>
      <c r="H17" s="32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ht="12.75" customHeight="1">
      <c r="B18" s="14"/>
      <c r="C18" s="14"/>
      <c r="D18" s="14"/>
      <c r="E18" s="37"/>
      <c r="F18" s="37"/>
      <c r="G18" s="37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ht="12.75" customHeight="1">
      <c r="B19" s="14"/>
      <c r="C19" s="14"/>
      <c r="D19" s="14"/>
      <c r="E19" s="37"/>
      <c r="F19" s="37"/>
      <c r="G19" s="37"/>
      <c r="H19" s="32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ht="12.75" customHeight="1">
      <c r="B20" s="14"/>
      <c r="C20" s="14"/>
      <c r="D20" s="14"/>
      <c r="E20" s="37"/>
      <c r="F20" s="37"/>
      <c r="G20" s="37"/>
      <c r="H20" s="32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ht="12.75" customHeight="1">
      <c r="B21" s="14"/>
      <c r="C21" s="14"/>
      <c r="D21" s="14"/>
      <c r="E21" s="37"/>
      <c r="F21" s="37"/>
      <c r="G21" s="37"/>
      <c r="H21" s="32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2.75" customHeight="1">
      <c r="B22" s="14"/>
      <c r="C22" s="14"/>
      <c r="D22" s="14"/>
      <c r="E22" s="37"/>
      <c r="F22" s="37"/>
      <c r="G22" s="37"/>
      <c r="H22" s="32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ht="12.75" customHeight="1">
      <c r="B23" s="14"/>
      <c r="C23" s="14"/>
      <c r="D23" s="14"/>
      <c r="E23" s="37"/>
      <c r="F23" s="37"/>
      <c r="G23" s="37"/>
      <c r="H23" s="32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ht="12.75" customHeight="1">
      <c r="B24" s="14"/>
      <c r="C24" s="14"/>
      <c r="D24" s="14"/>
      <c r="E24" s="37"/>
      <c r="F24" s="37"/>
      <c r="G24" s="37"/>
      <c r="H24" s="32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ht="12.75" customHeight="1">
      <c r="B25" s="14"/>
      <c r="C25" s="14"/>
      <c r="D25" s="14"/>
      <c r="E25" s="37"/>
      <c r="F25" s="37"/>
      <c r="G25" s="37"/>
      <c r="H25" s="32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12.75" customHeight="1">
      <c r="B26" s="14"/>
      <c r="C26" s="14"/>
      <c r="D26" s="14"/>
      <c r="E26" s="37"/>
      <c r="F26" s="37"/>
      <c r="G26" s="37"/>
      <c r="H26" s="32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ht="12.75" customHeight="1">
      <c r="E27" s="35"/>
      <c r="F27" s="35"/>
      <c r="G27" s="35"/>
      <c r="H27" s="34"/>
    </row>
    <row r="28" ht="12.75" customHeight="1">
      <c r="E28" s="35"/>
      <c r="F28" s="35"/>
      <c r="G28" s="35"/>
      <c r="H28" s="34"/>
    </row>
    <row r="29" ht="12.75" customHeight="1">
      <c r="E29" s="35"/>
      <c r="F29" s="35"/>
      <c r="G29" s="35"/>
      <c r="H29" s="34"/>
    </row>
    <row r="30" ht="12.75" customHeight="1">
      <c r="E30" s="35"/>
      <c r="F30" s="35"/>
      <c r="G30" s="35"/>
      <c r="H30" s="34"/>
    </row>
    <row r="31" ht="12.75" customHeight="1">
      <c r="E31" s="35"/>
      <c r="F31" s="35"/>
      <c r="G31" s="35"/>
      <c r="H31" s="34"/>
    </row>
    <row r="32" ht="12.75" customHeight="1">
      <c r="E32" s="35"/>
      <c r="F32" s="35"/>
      <c r="G32" s="35"/>
      <c r="H32" s="34"/>
    </row>
    <row r="33" ht="12.75" customHeight="1">
      <c r="E33" s="35"/>
      <c r="F33" s="35"/>
      <c r="G33" s="35"/>
      <c r="H33" s="34"/>
    </row>
    <row r="34" ht="12.75" customHeight="1">
      <c r="E34" s="35"/>
      <c r="F34" s="35"/>
      <c r="G34" s="35"/>
      <c r="H34" s="34"/>
    </row>
    <row r="35" ht="12.75" customHeight="1">
      <c r="E35" s="35"/>
      <c r="F35" s="35"/>
      <c r="G35" s="35"/>
      <c r="H35" s="34"/>
    </row>
    <row r="36" ht="12.75" customHeight="1">
      <c r="E36" s="35"/>
      <c r="F36" s="35"/>
      <c r="G36" s="35"/>
      <c r="H36" s="34"/>
    </row>
    <row r="37" ht="12.75" customHeight="1">
      <c r="E37" s="35"/>
      <c r="F37" s="35"/>
      <c r="G37" s="35"/>
      <c r="H37" s="34"/>
    </row>
    <row r="38" ht="12.75" customHeight="1">
      <c r="E38" s="35"/>
      <c r="F38" s="35"/>
      <c r="G38" s="35"/>
      <c r="H38" s="34"/>
    </row>
    <row r="39" ht="12.75" customHeight="1">
      <c r="E39" s="35"/>
      <c r="F39" s="35"/>
      <c r="G39" s="35"/>
      <c r="H39" s="34"/>
    </row>
    <row r="40" ht="12.75" customHeight="1">
      <c r="E40" s="35"/>
      <c r="F40" s="35"/>
      <c r="G40" s="35"/>
      <c r="H40" s="34"/>
    </row>
    <row r="41" ht="12.75" customHeight="1">
      <c r="E41" s="35"/>
      <c r="F41" s="35"/>
      <c r="G41" s="35"/>
      <c r="H41" s="34"/>
    </row>
    <row r="42" ht="12.75" customHeight="1">
      <c r="E42" s="35"/>
      <c r="F42" s="35"/>
      <c r="G42" s="35"/>
      <c r="H42" s="34"/>
    </row>
    <row r="43" ht="12.75" customHeight="1">
      <c r="E43" s="35"/>
      <c r="F43" s="35"/>
      <c r="G43" s="35"/>
      <c r="H43" s="34"/>
    </row>
    <row r="44" ht="12.75" customHeight="1">
      <c r="E44" s="35"/>
      <c r="F44" s="35"/>
      <c r="G44" s="35"/>
      <c r="H44" s="34"/>
    </row>
    <row r="45" ht="12.75" customHeight="1">
      <c r="E45" s="35"/>
      <c r="F45" s="35"/>
      <c r="G45" s="35"/>
      <c r="H45" s="34"/>
    </row>
    <row r="46" ht="12.75" customHeight="1">
      <c r="E46" s="35"/>
      <c r="F46" s="35"/>
      <c r="G46" s="35"/>
      <c r="H46" s="34"/>
    </row>
    <row r="47" ht="12.75" customHeight="1">
      <c r="E47" s="35"/>
      <c r="F47" s="35"/>
      <c r="G47" s="35"/>
      <c r="H47" s="34"/>
    </row>
    <row r="48" ht="12.75" customHeight="1">
      <c r="E48" s="35"/>
      <c r="F48" s="35"/>
      <c r="G48" s="35"/>
      <c r="H48" s="34"/>
    </row>
    <row r="49" ht="12.75" customHeight="1">
      <c r="E49" s="35"/>
      <c r="F49" s="35"/>
      <c r="G49" s="35"/>
      <c r="H49" s="34"/>
    </row>
    <row r="50" ht="12.75" customHeight="1">
      <c r="E50" s="35"/>
      <c r="F50" s="35"/>
      <c r="G50" s="35"/>
      <c r="H50" s="34"/>
    </row>
    <row r="51" ht="12.75" customHeight="1">
      <c r="E51" s="35"/>
      <c r="F51" s="35"/>
      <c r="G51" s="35"/>
      <c r="H51" s="34"/>
    </row>
    <row r="52" ht="12.75" customHeight="1">
      <c r="E52" s="35"/>
      <c r="F52" s="35"/>
      <c r="G52" s="35"/>
      <c r="H52" s="34"/>
    </row>
    <row r="53" ht="12.75" customHeight="1">
      <c r="E53" s="35"/>
      <c r="F53" s="35"/>
      <c r="G53" s="35"/>
      <c r="H53" s="34"/>
    </row>
    <row r="54" ht="12.75" customHeight="1">
      <c r="E54" s="35"/>
      <c r="F54" s="35"/>
      <c r="G54" s="35"/>
      <c r="H54" s="34"/>
    </row>
    <row r="55" ht="12.75" customHeight="1">
      <c r="E55" s="35"/>
      <c r="F55" s="35"/>
      <c r="G55" s="35"/>
      <c r="H55" s="34"/>
    </row>
    <row r="56" ht="12.75" customHeight="1">
      <c r="E56" s="35"/>
      <c r="F56" s="35"/>
      <c r="G56" s="35"/>
      <c r="H56" s="34"/>
    </row>
    <row r="57" ht="12.75" customHeight="1">
      <c r="E57" s="35"/>
      <c r="F57" s="35"/>
      <c r="G57" s="35"/>
      <c r="H57" s="34"/>
    </row>
    <row r="58" ht="12.75" customHeight="1">
      <c r="E58" s="35"/>
      <c r="F58" s="35"/>
      <c r="G58" s="35"/>
      <c r="H58" s="34"/>
    </row>
    <row r="59" ht="12.75" customHeight="1">
      <c r="E59" s="35"/>
      <c r="F59" s="35"/>
      <c r="G59" s="35"/>
      <c r="H59" s="34"/>
    </row>
    <row r="60" ht="12.75" customHeight="1">
      <c r="E60" s="35"/>
      <c r="F60" s="35"/>
      <c r="G60" s="35"/>
      <c r="H60" s="34"/>
    </row>
    <row r="61" ht="12.75" customHeight="1">
      <c r="E61" s="35"/>
      <c r="F61" s="35"/>
      <c r="G61" s="35"/>
      <c r="H61" s="34"/>
    </row>
    <row r="62" ht="12.75" customHeight="1">
      <c r="E62" s="35"/>
      <c r="F62" s="35"/>
      <c r="G62" s="35"/>
      <c r="H62" s="34"/>
    </row>
    <row r="63" ht="12.75" customHeight="1">
      <c r="E63" s="35"/>
      <c r="F63" s="35"/>
      <c r="G63" s="35"/>
      <c r="H63" s="34"/>
    </row>
    <row r="64" ht="12.75" customHeight="1">
      <c r="E64" s="35"/>
      <c r="F64" s="35"/>
      <c r="G64" s="35"/>
      <c r="H64" s="34"/>
    </row>
    <row r="65" ht="12.75" customHeight="1">
      <c r="E65" s="35"/>
      <c r="F65" s="35"/>
      <c r="G65" s="35"/>
      <c r="H65" s="34"/>
    </row>
    <row r="66" ht="12.75" customHeight="1">
      <c r="E66" s="35"/>
      <c r="F66" s="35"/>
      <c r="G66" s="35"/>
      <c r="H66" s="34"/>
    </row>
    <row r="67" ht="12.75" customHeight="1">
      <c r="E67" s="35"/>
      <c r="F67" s="35"/>
      <c r="G67" s="35"/>
      <c r="H67" s="34"/>
    </row>
    <row r="68" ht="12.75" customHeight="1">
      <c r="E68" s="35"/>
      <c r="F68" s="35"/>
      <c r="G68" s="35"/>
      <c r="H68" s="34"/>
    </row>
    <row r="69" ht="12.75" customHeight="1">
      <c r="E69" s="35"/>
      <c r="F69" s="35"/>
      <c r="G69" s="35"/>
      <c r="H69" s="34"/>
    </row>
    <row r="70" ht="12.75" customHeight="1">
      <c r="E70" s="35"/>
      <c r="F70" s="35"/>
      <c r="G70" s="35"/>
      <c r="H70" s="34"/>
    </row>
    <row r="71" ht="12.75" customHeight="1">
      <c r="E71" s="35"/>
      <c r="F71" s="35"/>
      <c r="G71" s="35"/>
      <c r="H71" s="34"/>
    </row>
    <row r="72" ht="12.75" customHeight="1">
      <c r="E72" s="35"/>
      <c r="F72" s="35"/>
      <c r="G72" s="35"/>
      <c r="H72" s="34"/>
    </row>
    <row r="73" ht="12.75" customHeight="1">
      <c r="E73" s="35"/>
      <c r="F73" s="35"/>
      <c r="G73" s="35"/>
      <c r="H73" s="34"/>
    </row>
    <row r="74" ht="12.75" customHeight="1">
      <c r="E74" s="35"/>
      <c r="F74" s="35"/>
      <c r="G74" s="35"/>
      <c r="H74" s="34"/>
    </row>
    <row r="75" ht="12.75" customHeight="1">
      <c r="E75" s="35"/>
      <c r="F75" s="35"/>
      <c r="G75" s="35"/>
      <c r="H75" s="34"/>
    </row>
    <row r="76" ht="12.75" customHeight="1">
      <c r="E76" s="35"/>
      <c r="F76" s="35"/>
      <c r="G76" s="35"/>
      <c r="H76" s="34"/>
    </row>
    <row r="77" ht="12.75" customHeight="1">
      <c r="E77" s="35"/>
      <c r="F77" s="35"/>
      <c r="G77" s="35"/>
      <c r="H77" s="34"/>
    </row>
    <row r="78" ht="12.75" customHeight="1">
      <c r="E78" s="35"/>
      <c r="F78" s="35"/>
      <c r="G78" s="35"/>
      <c r="H78" s="34"/>
    </row>
    <row r="79" ht="12.75" customHeight="1">
      <c r="E79" s="35"/>
      <c r="F79" s="35"/>
      <c r="G79" s="35"/>
      <c r="H79" s="34"/>
    </row>
    <row r="80" ht="12.75" customHeight="1">
      <c r="E80" s="35"/>
      <c r="F80" s="35"/>
      <c r="G80" s="35"/>
      <c r="H80" s="34"/>
    </row>
    <row r="81" ht="12.75" customHeight="1">
      <c r="E81" s="35"/>
      <c r="F81" s="35"/>
      <c r="G81" s="35"/>
      <c r="H81" s="34"/>
    </row>
    <row r="82" ht="12.75" customHeight="1">
      <c r="E82" s="35"/>
      <c r="F82" s="35"/>
      <c r="G82" s="35"/>
      <c r="H82" s="34"/>
    </row>
    <row r="83" ht="12.75" customHeight="1">
      <c r="E83" s="35"/>
      <c r="F83" s="35"/>
      <c r="G83" s="35"/>
      <c r="H83" s="34"/>
    </row>
    <row r="84" ht="12.75" customHeight="1">
      <c r="E84" s="35"/>
      <c r="F84" s="35"/>
      <c r="G84" s="35"/>
      <c r="H84" s="34"/>
    </row>
    <row r="85" ht="12.75" customHeight="1">
      <c r="E85" s="35"/>
      <c r="F85" s="35"/>
      <c r="G85" s="35"/>
      <c r="H85" s="34"/>
    </row>
    <row r="86" ht="12.75" customHeight="1">
      <c r="E86" s="35"/>
      <c r="F86" s="35"/>
      <c r="G86" s="35"/>
      <c r="H86" s="34"/>
    </row>
    <row r="87" ht="12.75" customHeight="1">
      <c r="E87" s="35"/>
      <c r="F87" s="35"/>
      <c r="G87" s="35"/>
      <c r="H87" s="34"/>
    </row>
    <row r="88" ht="12.75" customHeight="1">
      <c r="E88" s="35"/>
      <c r="F88" s="35"/>
      <c r="G88" s="35"/>
      <c r="H88" s="34"/>
    </row>
    <row r="89" ht="12.75" customHeight="1">
      <c r="E89" s="35"/>
      <c r="F89" s="35"/>
      <c r="G89" s="35"/>
      <c r="H89" s="34"/>
    </row>
    <row r="90" ht="12.75" customHeight="1">
      <c r="E90" s="35"/>
      <c r="F90" s="35"/>
      <c r="G90" s="35"/>
      <c r="H90" s="34"/>
    </row>
    <row r="91" ht="12.75" customHeight="1">
      <c r="E91" s="35"/>
      <c r="F91" s="35"/>
      <c r="G91" s="35"/>
      <c r="H91" s="34"/>
    </row>
    <row r="92" ht="12.75" customHeight="1">
      <c r="E92" s="35"/>
      <c r="F92" s="35"/>
      <c r="G92" s="35"/>
      <c r="H92" s="34"/>
    </row>
    <row r="93" ht="12.75" customHeight="1">
      <c r="E93" s="35"/>
      <c r="F93" s="35"/>
      <c r="G93" s="35"/>
      <c r="H93" s="34"/>
    </row>
    <row r="94" ht="12.75" customHeight="1">
      <c r="E94" s="35"/>
      <c r="F94" s="35"/>
      <c r="G94" s="35"/>
      <c r="H94" s="34"/>
    </row>
    <row r="95" ht="12.75" customHeight="1">
      <c r="E95" s="35"/>
      <c r="F95" s="35"/>
      <c r="G95" s="35"/>
      <c r="H95" s="34"/>
    </row>
    <row r="96" ht="12.75" customHeight="1">
      <c r="E96" s="35"/>
      <c r="F96" s="35"/>
      <c r="G96" s="35"/>
      <c r="H96" s="34"/>
    </row>
    <row r="97" ht="12.75" customHeight="1">
      <c r="E97" s="35"/>
      <c r="F97" s="35"/>
      <c r="G97" s="35"/>
      <c r="H97" s="34"/>
    </row>
    <row r="98" ht="12.75" customHeight="1">
      <c r="E98" s="35"/>
      <c r="F98" s="35"/>
      <c r="G98" s="35"/>
      <c r="H98" s="34"/>
    </row>
    <row r="99" ht="12.75" customHeight="1">
      <c r="E99" s="35"/>
      <c r="F99" s="35"/>
      <c r="G99" s="35"/>
      <c r="H99" s="34"/>
    </row>
    <row r="100" ht="12.75" customHeight="1">
      <c r="E100" s="35"/>
      <c r="F100" s="35"/>
      <c r="G100" s="35"/>
      <c r="H100" s="34"/>
    </row>
    <row r="101" ht="12.75" customHeight="1">
      <c r="E101" s="35"/>
      <c r="F101" s="35"/>
      <c r="G101" s="35"/>
      <c r="H101" s="34"/>
    </row>
    <row r="102" ht="12.75" customHeight="1">
      <c r="E102" s="35"/>
      <c r="F102" s="35"/>
      <c r="G102" s="35"/>
      <c r="H102" s="34"/>
    </row>
    <row r="103" ht="12.75" customHeight="1">
      <c r="E103" s="35"/>
      <c r="F103" s="35"/>
      <c r="G103" s="35"/>
      <c r="H103" s="34"/>
    </row>
    <row r="104" ht="12.75" customHeight="1">
      <c r="E104" s="35"/>
      <c r="F104" s="35"/>
      <c r="G104" s="35"/>
      <c r="H104" s="34"/>
    </row>
    <row r="105" ht="12.75" customHeight="1">
      <c r="E105" s="35"/>
      <c r="F105" s="35"/>
      <c r="G105" s="35"/>
      <c r="H105" s="34"/>
    </row>
    <row r="106" ht="12.75" customHeight="1">
      <c r="E106" s="35"/>
      <c r="F106" s="35"/>
      <c r="G106" s="35"/>
      <c r="H106" s="34"/>
    </row>
    <row r="107" ht="12.75" customHeight="1">
      <c r="E107" s="35"/>
      <c r="F107" s="35"/>
      <c r="G107" s="35"/>
      <c r="H107" s="34"/>
    </row>
    <row r="108" ht="12.75" customHeight="1">
      <c r="E108" s="35"/>
      <c r="F108" s="35"/>
      <c r="G108" s="35"/>
      <c r="H108" s="34"/>
    </row>
    <row r="109" ht="12.75" customHeight="1">
      <c r="E109" s="35"/>
      <c r="F109" s="35"/>
      <c r="G109" s="35"/>
      <c r="H109" s="34"/>
    </row>
    <row r="110" ht="12.75" customHeight="1">
      <c r="E110" s="35"/>
      <c r="F110" s="35"/>
      <c r="G110" s="35"/>
      <c r="H110" s="34"/>
    </row>
    <row r="111" ht="12.75" customHeight="1">
      <c r="E111" s="35"/>
      <c r="F111" s="35"/>
      <c r="G111" s="35"/>
      <c r="H111" s="34"/>
    </row>
    <row r="112" ht="12.75" customHeight="1">
      <c r="E112" s="35"/>
      <c r="F112" s="35"/>
      <c r="G112" s="35"/>
      <c r="H112" s="34"/>
    </row>
    <row r="113" ht="12.75" customHeight="1">
      <c r="E113" s="35"/>
      <c r="F113" s="35"/>
      <c r="G113" s="35"/>
      <c r="H113" s="34"/>
    </row>
    <row r="114" ht="12.75" customHeight="1">
      <c r="E114" s="35"/>
      <c r="F114" s="35"/>
      <c r="G114" s="35"/>
      <c r="H114" s="34"/>
    </row>
    <row r="115" ht="12.75" customHeight="1">
      <c r="E115" s="35"/>
      <c r="F115" s="35"/>
      <c r="G115" s="35"/>
      <c r="H115" s="34"/>
    </row>
    <row r="116" ht="12.75" customHeight="1">
      <c r="E116" s="35"/>
      <c r="F116" s="35"/>
      <c r="G116" s="35"/>
      <c r="H116" s="34"/>
    </row>
    <row r="117" ht="12.75" customHeight="1">
      <c r="E117" s="35"/>
      <c r="F117" s="35"/>
      <c r="G117" s="35"/>
      <c r="H117" s="34"/>
    </row>
    <row r="118" ht="12.75" customHeight="1">
      <c r="E118" s="35"/>
      <c r="F118" s="35"/>
      <c r="G118" s="35"/>
      <c r="H118" s="34"/>
    </row>
    <row r="119" ht="12.75" customHeight="1">
      <c r="E119" s="35"/>
      <c r="F119" s="35"/>
      <c r="G119" s="35"/>
      <c r="H119" s="34"/>
    </row>
    <row r="120" ht="12.75" customHeight="1">
      <c r="E120" s="35"/>
      <c r="F120" s="35"/>
      <c r="G120" s="35"/>
      <c r="H120" s="34"/>
    </row>
    <row r="121" ht="12.75" customHeight="1">
      <c r="E121" s="35"/>
      <c r="F121" s="35"/>
      <c r="G121" s="35"/>
      <c r="H121" s="34"/>
    </row>
    <row r="122" ht="12.75" customHeight="1">
      <c r="E122" s="35"/>
      <c r="F122" s="35"/>
      <c r="G122" s="35"/>
      <c r="H122" s="34"/>
    </row>
    <row r="123" ht="12.75" customHeight="1">
      <c r="E123" s="35"/>
      <c r="F123" s="35"/>
      <c r="G123" s="35"/>
      <c r="H123" s="34"/>
    </row>
    <row r="124" ht="12.75" customHeight="1">
      <c r="E124" s="35"/>
      <c r="F124" s="35"/>
      <c r="G124" s="35"/>
      <c r="H124" s="34"/>
    </row>
    <row r="125" ht="12.75" customHeight="1">
      <c r="E125" s="35"/>
      <c r="F125" s="35"/>
      <c r="G125" s="35"/>
      <c r="H125" s="34"/>
    </row>
    <row r="126" ht="12.75" customHeight="1">
      <c r="E126" s="35"/>
      <c r="F126" s="35"/>
      <c r="G126" s="35"/>
      <c r="H126" s="34"/>
    </row>
    <row r="127" ht="12.75" customHeight="1">
      <c r="E127" s="35"/>
      <c r="F127" s="35"/>
      <c r="G127" s="35"/>
      <c r="H127" s="34"/>
    </row>
    <row r="128" ht="12.75" customHeight="1">
      <c r="E128" s="35"/>
      <c r="F128" s="35"/>
      <c r="G128" s="35"/>
      <c r="H128" s="34"/>
    </row>
    <row r="129" ht="12.75" customHeight="1">
      <c r="E129" s="35"/>
      <c r="F129" s="35"/>
      <c r="G129" s="35"/>
      <c r="H129" s="34"/>
    </row>
    <row r="130" ht="12.75" customHeight="1">
      <c r="E130" s="35"/>
      <c r="F130" s="35"/>
      <c r="G130" s="35"/>
      <c r="H130" s="34"/>
    </row>
    <row r="131" ht="12.75" customHeight="1">
      <c r="E131" s="35"/>
      <c r="F131" s="35"/>
      <c r="G131" s="35"/>
      <c r="H131" s="34"/>
    </row>
    <row r="132" ht="12.75" customHeight="1">
      <c r="E132" s="35"/>
      <c r="F132" s="35"/>
      <c r="G132" s="35"/>
      <c r="H132" s="34"/>
    </row>
    <row r="133" ht="12.75" customHeight="1">
      <c r="E133" s="35"/>
      <c r="F133" s="35"/>
      <c r="G133" s="35"/>
      <c r="H133" s="34"/>
    </row>
    <row r="134" ht="12.75" customHeight="1">
      <c r="E134" s="35"/>
      <c r="F134" s="35"/>
      <c r="G134" s="35"/>
      <c r="H134" s="34"/>
    </row>
    <row r="135" ht="12.75" customHeight="1">
      <c r="E135" s="35"/>
      <c r="F135" s="35"/>
      <c r="G135" s="35"/>
      <c r="H135" s="34"/>
    </row>
    <row r="136" ht="12.75" customHeight="1">
      <c r="E136" s="35"/>
      <c r="F136" s="35"/>
      <c r="G136" s="35"/>
      <c r="H136" s="34"/>
    </row>
    <row r="137" ht="12.75" customHeight="1">
      <c r="E137" s="35"/>
      <c r="F137" s="35"/>
      <c r="G137" s="35"/>
      <c r="H137" s="34"/>
    </row>
    <row r="138" ht="12.75" customHeight="1">
      <c r="E138" s="35"/>
      <c r="F138" s="35"/>
      <c r="G138" s="35"/>
      <c r="H138" s="34"/>
    </row>
    <row r="139" ht="12.75" customHeight="1">
      <c r="E139" s="35"/>
      <c r="F139" s="35"/>
      <c r="G139" s="35"/>
      <c r="H139" s="34"/>
    </row>
    <row r="140" ht="12.75" customHeight="1">
      <c r="E140" s="35"/>
      <c r="F140" s="35"/>
      <c r="G140" s="35"/>
      <c r="H140" s="34"/>
    </row>
    <row r="141" ht="12.75" customHeight="1">
      <c r="E141" s="35"/>
      <c r="F141" s="35"/>
      <c r="G141" s="35"/>
      <c r="H141" s="34"/>
    </row>
    <row r="142" ht="12.75" customHeight="1">
      <c r="E142" s="35"/>
      <c r="F142" s="35"/>
      <c r="G142" s="35"/>
      <c r="H142" s="34"/>
    </row>
    <row r="143" ht="12.75" customHeight="1">
      <c r="E143" s="35"/>
      <c r="F143" s="35"/>
      <c r="G143" s="35"/>
      <c r="H143" s="34"/>
    </row>
    <row r="144" ht="12.75" customHeight="1">
      <c r="E144" s="35"/>
      <c r="F144" s="35"/>
      <c r="G144" s="35"/>
      <c r="H144" s="34"/>
    </row>
    <row r="145" ht="12.75" customHeight="1">
      <c r="E145" s="35"/>
      <c r="F145" s="35"/>
      <c r="G145" s="35"/>
      <c r="H145" s="34"/>
    </row>
    <row r="146" ht="12.75" customHeight="1">
      <c r="E146" s="35"/>
      <c r="F146" s="35"/>
      <c r="G146" s="35"/>
      <c r="H146" s="34"/>
    </row>
    <row r="147" ht="12.75" customHeight="1">
      <c r="E147" s="35"/>
      <c r="F147" s="35"/>
      <c r="G147" s="35"/>
      <c r="H147" s="34"/>
    </row>
    <row r="148" ht="12.75" customHeight="1">
      <c r="E148" s="35"/>
      <c r="F148" s="35"/>
      <c r="G148" s="35"/>
      <c r="H148" s="34"/>
    </row>
    <row r="149" ht="12.75" customHeight="1">
      <c r="E149" s="35"/>
      <c r="F149" s="35"/>
      <c r="G149" s="35"/>
      <c r="H149" s="34"/>
    </row>
    <row r="150" ht="12.75" customHeight="1">
      <c r="E150" s="35"/>
      <c r="F150" s="35"/>
      <c r="G150" s="35"/>
      <c r="H150" s="34"/>
    </row>
    <row r="151" ht="12.75" customHeight="1">
      <c r="E151" s="35"/>
      <c r="F151" s="35"/>
      <c r="G151" s="35"/>
      <c r="H151" s="34"/>
    </row>
    <row r="152" ht="12.75" customHeight="1">
      <c r="E152" s="35"/>
      <c r="F152" s="35"/>
      <c r="G152" s="35"/>
      <c r="H152" s="34"/>
    </row>
    <row r="153" ht="12.75" customHeight="1">
      <c r="E153" s="35"/>
      <c r="F153" s="35"/>
      <c r="G153" s="35"/>
      <c r="H153" s="34"/>
    </row>
    <row r="154" ht="12.75" customHeight="1">
      <c r="E154" s="35"/>
      <c r="F154" s="35"/>
      <c r="G154" s="35"/>
      <c r="H154" s="34"/>
    </row>
    <row r="155" ht="12.75" customHeight="1">
      <c r="E155" s="35"/>
      <c r="F155" s="35"/>
      <c r="G155" s="35"/>
      <c r="H155" s="34"/>
    </row>
    <row r="156" ht="12.75" customHeight="1">
      <c r="E156" s="35"/>
      <c r="F156" s="35"/>
      <c r="G156" s="35"/>
      <c r="H156" s="34"/>
    </row>
    <row r="157" ht="12.75" customHeight="1">
      <c r="E157" s="35"/>
      <c r="F157" s="35"/>
      <c r="G157" s="35"/>
      <c r="H157" s="34"/>
    </row>
    <row r="158" ht="12.75" customHeight="1">
      <c r="E158" s="35"/>
      <c r="F158" s="35"/>
      <c r="G158" s="35"/>
      <c r="H158" s="34"/>
    </row>
    <row r="159" ht="12.75" customHeight="1">
      <c r="E159" s="35"/>
      <c r="F159" s="35"/>
      <c r="G159" s="35"/>
      <c r="H159" s="34"/>
    </row>
    <row r="160" ht="12.75" customHeight="1">
      <c r="E160" s="35"/>
      <c r="F160" s="35"/>
      <c r="G160" s="35"/>
      <c r="H160" s="34"/>
    </row>
    <row r="161" ht="12.75" customHeight="1">
      <c r="E161" s="35"/>
      <c r="F161" s="35"/>
      <c r="G161" s="35"/>
      <c r="H161" s="34"/>
    </row>
    <row r="162" ht="12.75" customHeight="1">
      <c r="E162" s="35"/>
      <c r="F162" s="35"/>
      <c r="G162" s="35"/>
      <c r="H162" s="34"/>
    </row>
    <row r="163" ht="12.75" customHeight="1">
      <c r="E163" s="35"/>
      <c r="F163" s="35"/>
      <c r="G163" s="35"/>
      <c r="H163" s="34"/>
    </row>
    <row r="164" ht="12.75" customHeight="1">
      <c r="E164" s="35"/>
      <c r="F164" s="35"/>
      <c r="G164" s="35"/>
      <c r="H164" s="34"/>
    </row>
    <row r="165" ht="12.75" customHeight="1">
      <c r="E165" s="35"/>
      <c r="F165" s="35"/>
      <c r="G165" s="35"/>
      <c r="H165" s="34"/>
    </row>
    <row r="166" ht="12.75" customHeight="1">
      <c r="E166" s="35"/>
      <c r="F166" s="35"/>
      <c r="G166" s="35"/>
      <c r="H166" s="34"/>
    </row>
    <row r="167" ht="12.75" customHeight="1">
      <c r="E167" s="35"/>
      <c r="F167" s="35"/>
      <c r="G167" s="35"/>
      <c r="H167" s="34"/>
    </row>
    <row r="168" ht="12.75" customHeight="1">
      <c r="E168" s="35"/>
      <c r="F168" s="35"/>
      <c r="G168" s="35"/>
      <c r="H168" s="34"/>
    </row>
    <row r="169" ht="12.75" customHeight="1">
      <c r="E169" s="35"/>
      <c r="F169" s="35"/>
      <c r="G169" s="35"/>
      <c r="H169" s="34"/>
    </row>
    <row r="170" ht="12.75" customHeight="1">
      <c r="E170" s="35"/>
      <c r="F170" s="35"/>
      <c r="G170" s="35"/>
      <c r="H170" s="34"/>
    </row>
    <row r="171" ht="12.75" customHeight="1">
      <c r="E171" s="35"/>
      <c r="F171" s="35"/>
      <c r="G171" s="35"/>
      <c r="H171" s="34"/>
    </row>
    <row r="172" ht="12.75" customHeight="1">
      <c r="E172" s="35"/>
      <c r="F172" s="35"/>
      <c r="G172" s="35"/>
      <c r="H172" s="34"/>
    </row>
    <row r="173" ht="12.75" customHeight="1">
      <c r="E173" s="35"/>
      <c r="F173" s="35"/>
      <c r="G173" s="35"/>
      <c r="H173" s="34"/>
    </row>
    <row r="174" ht="12.75" customHeight="1">
      <c r="E174" s="35"/>
      <c r="F174" s="35"/>
      <c r="G174" s="35"/>
      <c r="H174" s="34"/>
    </row>
    <row r="175" ht="12.75" customHeight="1">
      <c r="E175" s="35"/>
      <c r="F175" s="35"/>
      <c r="G175" s="35"/>
      <c r="H175" s="34"/>
    </row>
    <row r="176" ht="12.75" customHeight="1">
      <c r="E176" s="35"/>
      <c r="F176" s="35"/>
      <c r="G176" s="35"/>
      <c r="H176" s="34"/>
    </row>
    <row r="177" ht="12.75" customHeight="1">
      <c r="E177" s="35"/>
      <c r="F177" s="35"/>
      <c r="G177" s="35"/>
      <c r="H177" s="34"/>
    </row>
    <row r="178" ht="12.75" customHeight="1">
      <c r="E178" s="35"/>
      <c r="F178" s="35"/>
      <c r="G178" s="35"/>
      <c r="H178" s="34"/>
    </row>
    <row r="179" ht="12.75" customHeight="1">
      <c r="E179" s="35"/>
      <c r="F179" s="35"/>
      <c r="G179" s="35"/>
      <c r="H179" s="34"/>
    </row>
    <row r="180" ht="12.75" customHeight="1">
      <c r="E180" s="35"/>
      <c r="F180" s="35"/>
      <c r="G180" s="35"/>
      <c r="H180" s="34"/>
    </row>
    <row r="181" ht="12.75" customHeight="1">
      <c r="E181" s="35"/>
      <c r="F181" s="35"/>
      <c r="G181" s="35"/>
      <c r="H181" s="34"/>
    </row>
    <row r="182" ht="12.75" customHeight="1">
      <c r="E182" s="35"/>
      <c r="F182" s="35"/>
      <c r="G182" s="35"/>
      <c r="H182" s="34"/>
    </row>
    <row r="183" ht="12.75" customHeight="1">
      <c r="E183" s="35"/>
      <c r="F183" s="35"/>
      <c r="G183" s="35"/>
      <c r="H183" s="34"/>
    </row>
    <row r="184" ht="12.75" customHeight="1">
      <c r="E184" s="35"/>
      <c r="F184" s="35"/>
      <c r="G184" s="35"/>
      <c r="H184" s="34"/>
    </row>
    <row r="185" ht="12.75" customHeight="1">
      <c r="E185" s="35"/>
      <c r="F185" s="35"/>
      <c r="G185" s="35"/>
      <c r="H185" s="34"/>
    </row>
    <row r="186" ht="12.75" customHeight="1">
      <c r="E186" s="35"/>
      <c r="F186" s="35"/>
      <c r="G186" s="35"/>
      <c r="H186" s="34"/>
    </row>
    <row r="187" ht="12.75" customHeight="1">
      <c r="E187" s="35"/>
      <c r="F187" s="35"/>
      <c r="G187" s="35"/>
      <c r="H187" s="34"/>
    </row>
    <row r="188" ht="12.75" customHeight="1">
      <c r="E188" s="35"/>
      <c r="F188" s="35"/>
      <c r="G188" s="35"/>
      <c r="H188" s="34"/>
    </row>
    <row r="189" ht="12.75" customHeight="1">
      <c r="E189" s="35"/>
      <c r="F189" s="35"/>
      <c r="G189" s="35"/>
      <c r="H189" s="34"/>
    </row>
    <row r="190" ht="12.75" customHeight="1">
      <c r="E190" s="35"/>
      <c r="F190" s="35"/>
      <c r="G190" s="35"/>
      <c r="H190" s="34"/>
    </row>
    <row r="191" ht="12.75" customHeight="1">
      <c r="E191" s="35"/>
      <c r="F191" s="35"/>
      <c r="G191" s="35"/>
      <c r="H191" s="34"/>
    </row>
    <row r="192" ht="12.75" customHeight="1">
      <c r="E192" s="35"/>
      <c r="F192" s="35"/>
      <c r="G192" s="35"/>
      <c r="H192" s="34"/>
    </row>
    <row r="193" ht="12.75" customHeight="1">
      <c r="E193" s="35"/>
      <c r="F193" s="35"/>
      <c r="G193" s="35"/>
      <c r="H193" s="34"/>
    </row>
    <row r="194" ht="12.75" customHeight="1">
      <c r="E194" s="35"/>
      <c r="F194" s="35"/>
      <c r="G194" s="35"/>
      <c r="H194" s="34"/>
    </row>
    <row r="195" ht="12.75" customHeight="1">
      <c r="E195" s="35"/>
      <c r="F195" s="35"/>
      <c r="G195" s="35"/>
      <c r="H195" s="34"/>
    </row>
    <row r="196" ht="12.75" customHeight="1">
      <c r="E196" s="35"/>
      <c r="F196" s="35"/>
      <c r="G196" s="35"/>
      <c r="H196" s="34"/>
    </row>
    <row r="197" ht="12.75" customHeight="1">
      <c r="E197" s="35"/>
      <c r="F197" s="35"/>
      <c r="G197" s="35"/>
      <c r="H197" s="34"/>
    </row>
    <row r="198" ht="12.75" customHeight="1">
      <c r="E198" s="35"/>
      <c r="F198" s="35"/>
      <c r="G198" s="35"/>
      <c r="H198" s="34"/>
    </row>
    <row r="199" ht="12.75" customHeight="1">
      <c r="E199" s="35"/>
      <c r="F199" s="35"/>
      <c r="G199" s="35"/>
      <c r="H199" s="34"/>
    </row>
    <row r="200" ht="12.75" customHeight="1">
      <c r="E200" s="35"/>
      <c r="F200" s="35"/>
      <c r="G200" s="35"/>
      <c r="H200" s="34"/>
    </row>
    <row r="201" ht="12.75" customHeight="1">
      <c r="E201" s="35"/>
      <c r="F201" s="35"/>
      <c r="G201" s="35"/>
      <c r="H201" s="34"/>
    </row>
    <row r="202" ht="12.75" customHeight="1">
      <c r="E202" s="35"/>
      <c r="F202" s="35"/>
      <c r="G202" s="35"/>
      <c r="H202" s="34"/>
    </row>
    <row r="203" ht="12.75" customHeight="1">
      <c r="E203" s="35"/>
      <c r="F203" s="35"/>
      <c r="G203" s="35"/>
      <c r="H203" s="34"/>
    </row>
    <row r="204" ht="12.75" customHeight="1">
      <c r="E204" s="35"/>
      <c r="F204" s="35"/>
      <c r="G204" s="35"/>
      <c r="H204" s="34"/>
    </row>
    <row r="205" ht="12.75" customHeight="1">
      <c r="E205" s="35"/>
      <c r="F205" s="35"/>
      <c r="G205" s="35"/>
      <c r="H205" s="34"/>
    </row>
    <row r="206" ht="12.75" customHeight="1">
      <c r="E206" s="35"/>
      <c r="F206" s="35"/>
      <c r="G206" s="35"/>
      <c r="H206" s="34"/>
    </row>
    <row r="207" ht="12.75" customHeight="1">
      <c r="E207" s="35"/>
      <c r="F207" s="35"/>
      <c r="G207" s="35"/>
      <c r="H207" s="34"/>
    </row>
    <row r="208" ht="12.75" customHeight="1">
      <c r="E208" s="35"/>
      <c r="F208" s="35"/>
      <c r="G208" s="35"/>
      <c r="H208" s="34"/>
    </row>
    <row r="209" ht="12.75" customHeight="1">
      <c r="E209" s="35"/>
      <c r="F209" s="35"/>
      <c r="G209" s="35"/>
      <c r="H209" s="34"/>
    </row>
    <row r="210" ht="12.75" customHeight="1">
      <c r="E210" s="35"/>
      <c r="F210" s="35"/>
      <c r="G210" s="35"/>
      <c r="H210" s="34"/>
    </row>
    <row r="211" ht="12.75" customHeight="1">
      <c r="E211" s="35"/>
      <c r="F211" s="35"/>
      <c r="G211" s="35"/>
      <c r="H211" s="34"/>
    </row>
    <row r="212" ht="12.75" customHeight="1">
      <c r="E212" s="35"/>
      <c r="F212" s="35"/>
      <c r="G212" s="35"/>
      <c r="H212" s="34"/>
    </row>
    <row r="213" ht="12.75" customHeight="1">
      <c r="E213" s="35"/>
      <c r="F213" s="35"/>
      <c r="G213" s="35"/>
      <c r="H213" s="34"/>
    </row>
    <row r="214" ht="12.75" customHeight="1">
      <c r="E214" s="35"/>
      <c r="F214" s="35"/>
      <c r="G214" s="35"/>
      <c r="H214" s="34"/>
    </row>
    <row r="215" ht="12.75" customHeight="1">
      <c r="E215" s="35"/>
      <c r="F215" s="35"/>
      <c r="G215" s="35"/>
      <c r="H215" s="34"/>
    </row>
    <row r="216" ht="12.75" customHeight="1">
      <c r="E216" s="35"/>
      <c r="F216" s="35"/>
      <c r="G216" s="35"/>
      <c r="H216" s="34"/>
    </row>
    <row r="217" ht="12.75" customHeight="1">
      <c r="E217" s="35"/>
      <c r="F217" s="35"/>
      <c r="G217" s="35"/>
      <c r="H217" s="34"/>
    </row>
    <row r="218" ht="12.75" customHeight="1">
      <c r="E218" s="35"/>
      <c r="F218" s="35"/>
      <c r="G218" s="35"/>
      <c r="H218" s="34"/>
    </row>
    <row r="219" ht="12.75" customHeight="1">
      <c r="E219" s="35"/>
      <c r="F219" s="35"/>
      <c r="G219" s="35"/>
      <c r="H219" s="34"/>
    </row>
    <row r="220" ht="12.75" customHeight="1">
      <c r="E220" s="35"/>
      <c r="F220" s="35"/>
      <c r="G220" s="35"/>
      <c r="H220" s="34"/>
    </row>
    <row r="221" ht="12.75" customHeight="1">
      <c r="E221" s="35"/>
      <c r="F221" s="35"/>
      <c r="G221" s="35"/>
      <c r="H221" s="34"/>
    </row>
    <row r="222" ht="12.75" customHeight="1">
      <c r="E222" s="35"/>
      <c r="F222" s="35"/>
      <c r="G222" s="35"/>
      <c r="H222" s="34"/>
    </row>
    <row r="223" ht="12.75" customHeight="1">
      <c r="E223" s="35"/>
      <c r="F223" s="35"/>
      <c r="G223" s="35"/>
      <c r="H223" s="34"/>
    </row>
    <row r="224" ht="12.75" customHeight="1">
      <c r="E224" s="35"/>
      <c r="F224" s="35"/>
      <c r="G224" s="35"/>
      <c r="H224" s="34"/>
    </row>
    <row r="225" ht="12.75" customHeight="1">
      <c r="E225" s="35"/>
      <c r="F225" s="35"/>
      <c r="G225" s="35"/>
      <c r="H225" s="34"/>
    </row>
    <row r="226" ht="12.75" customHeight="1">
      <c r="E226" s="35"/>
      <c r="F226" s="35"/>
      <c r="G226" s="35"/>
      <c r="H226" s="34"/>
    </row>
    <row r="227" ht="12.75" customHeight="1">
      <c r="E227" s="35"/>
      <c r="F227" s="35"/>
      <c r="G227" s="35"/>
      <c r="H227" s="34"/>
    </row>
    <row r="228" ht="12.75" customHeight="1">
      <c r="E228" s="35"/>
      <c r="F228" s="35"/>
      <c r="G228" s="35"/>
      <c r="H228" s="34"/>
    </row>
    <row r="229" ht="12.75" customHeight="1">
      <c r="E229" s="35"/>
      <c r="F229" s="35"/>
      <c r="G229" s="35"/>
      <c r="H229" s="34"/>
    </row>
    <row r="230" ht="12.75" customHeight="1">
      <c r="E230" s="35"/>
      <c r="F230" s="35"/>
      <c r="G230" s="35"/>
      <c r="H230" s="34"/>
    </row>
    <row r="231" ht="12.75" customHeight="1">
      <c r="E231" s="35"/>
      <c r="F231" s="35"/>
      <c r="G231" s="35"/>
      <c r="H231" s="34"/>
    </row>
    <row r="232" ht="12.75" customHeight="1">
      <c r="E232" s="35"/>
      <c r="F232" s="35"/>
      <c r="G232" s="35"/>
      <c r="H232" s="34"/>
    </row>
    <row r="233" ht="12.75" customHeight="1">
      <c r="E233" s="35"/>
      <c r="F233" s="35"/>
      <c r="G233" s="35"/>
      <c r="H233" s="34"/>
    </row>
    <row r="234" ht="12.75" customHeight="1">
      <c r="E234" s="35"/>
      <c r="F234" s="35"/>
      <c r="G234" s="35"/>
      <c r="H234" s="34"/>
    </row>
    <row r="235" ht="12.75" customHeight="1">
      <c r="E235" s="35"/>
      <c r="F235" s="35"/>
      <c r="G235" s="35"/>
      <c r="H235" s="34"/>
    </row>
    <row r="236" ht="12.75" customHeight="1">
      <c r="E236" s="35"/>
      <c r="F236" s="35"/>
      <c r="G236" s="35"/>
      <c r="H236" s="34"/>
    </row>
    <row r="237" ht="12.75" customHeight="1">
      <c r="E237" s="35"/>
      <c r="F237" s="35"/>
      <c r="G237" s="35"/>
      <c r="H237" s="34"/>
    </row>
    <row r="238" ht="12.75" customHeight="1">
      <c r="E238" s="35"/>
      <c r="F238" s="35"/>
      <c r="G238" s="35"/>
      <c r="H238" s="34"/>
    </row>
    <row r="239" ht="12.75" customHeight="1">
      <c r="E239" s="35"/>
      <c r="F239" s="35"/>
      <c r="G239" s="35"/>
      <c r="H239" s="34"/>
    </row>
    <row r="240" ht="12.75" customHeight="1">
      <c r="E240" s="35"/>
      <c r="F240" s="35"/>
      <c r="G240" s="35"/>
      <c r="H240" s="34"/>
    </row>
    <row r="241" ht="12.75" customHeight="1">
      <c r="E241" s="35"/>
      <c r="F241" s="35"/>
      <c r="G241" s="35"/>
      <c r="H241" s="34"/>
    </row>
    <row r="242" ht="12.75" customHeight="1">
      <c r="E242" s="35"/>
      <c r="F242" s="35"/>
      <c r="G242" s="35"/>
      <c r="H242" s="34"/>
    </row>
    <row r="243" ht="12.75" customHeight="1">
      <c r="E243" s="35"/>
      <c r="F243" s="35"/>
      <c r="G243" s="35"/>
      <c r="H243" s="34"/>
    </row>
    <row r="244" ht="12.75" customHeight="1">
      <c r="E244" s="35"/>
      <c r="F244" s="35"/>
      <c r="G244" s="35"/>
      <c r="H244" s="34"/>
    </row>
    <row r="245" ht="12.75" customHeight="1">
      <c r="E245" s="35"/>
      <c r="F245" s="35"/>
      <c r="G245" s="35"/>
      <c r="H245" s="34"/>
    </row>
    <row r="246" ht="12.75" customHeight="1">
      <c r="E246" s="35"/>
      <c r="F246" s="35"/>
      <c r="G246" s="35"/>
      <c r="H246" s="34"/>
    </row>
    <row r="247" ht="12.75" customHeight="1">
      <c r="E247" s="35"/>
      <c r="F247" s="35"/>
      <c r="G247" s="35"/>
      <c r="H247" s="34"/>
    </row>
    <row r="248" ht="12.75" customHeight="1">
      <c r="E248" s="35"/>
      <c r="F248" s="35"/>
      <c r="G248" s="35"/>
      <c r="H248" s="34"/>
    </row>
    <row r="249" ht="12.75" customHeight="1">
      <c r="E249" s="35"/>
      <c r="F249" s="35"/>
      <c r="G249" s="35"/>
      <c r="H249" s="34"/>
    </row>
    <row r="250" ht="12.75" customHeight="1">
      <c r="E250" s="35"/>
      <c r="F250" s="35"/>
      <c r="G250" s="35"/>
      <c r="H250" s="34"/>
    </row>
    <row r="251" ht="12.75" customHeight="1">
      <c r="E251" s="35"/>
      <c r="F251" s="35"/>
      <c r="G251" s="35"/>
      <c r="H251" s="34"/>
    </row>
    <row r="252" ht="12.75" customHeight="1">
      <c r="E252" s="35"/>
      <c r="F252" s="35"/>
      <c r="G252" s="35"/>
      <c r="H252" s="34"/>
    </row>
    <row r="253" ht="12.75" customHeight="1">
      <c r="E253" s="35"/>
      <c r="F253" s="35"/>
      <c r="G253" s="35"/>
      <c r="H253" s="34"/>
    </row>
    <row r="254" ht="12.75" customHeight="1">
      <c r="E254" s="35"/>
      <c r="F254" s="35"/>
      <c r="G254" s="35"/>
      <c r="H254" s="34"/>
    </row>
    <row r="255" ht="12.75" customHeight="1">
      <c r="E255" s="35"/>
      <c r="F255" s="35"/>
      <c r="G255" s="35"/>
      <c r="H255" s="34"/>
    </row>
    <row r="256" ht="12.75" customHeight="1">
      <c r="E256" s="35"/>
      <c r="F256" s="35"/>
      <c r="G256" s="35"/>
      <c r="H256" s="34"/>
    </row>
    <row r="257" ht="12.75" customHeight="1">
      <c r="E257" s="35"/>
      <c r="F257" s="35"/>
      <c r="G257" s="35"/>
      <c r="H257" s="34"/>
    </row>
    <row r="258" ht="12.75" customHeight="1">
      <c r="E258" s="35"/>
      <c r="F258" s="35"/>
      <c r="G258" s="35"/>
      <c r="H258" s="34"/>
    </row>
    <row r="259" ht="12.75" customHeight="1">
      <c r="E259" s="35"/>
      <c r="F259" s="35"/>
      <c r="G259" s="35"/>
      <c r="H259" s="34"/>
    </row>
    <row r="260" ht="12.75" customHeight="1">
      <c r="E260" s="35"/>
      <c r="F260" s="35"/>
      <c r="G260" s="35"/>
      <c r="H260" s="34"/>
    </row>
    <row r="261" ht="12.75" customHeight="1">
      <c r="E261" s="35"/>
      <c r="F261" s="35"/>
      <c r="G261" s="35"/>
      <c r="H261" s="34"/>
    </row>
    <row r="262" ht="12.75" customHeight="1">
      <c r="E262" s="35"/>
      <c r="F262" s="35"/>
      <c r="G262" s="35"/>
      <c r="H262" s="34"/>
    </row>
    <row r="263" ht="12.75" customHeight="1">
      <c r="E263" s="35"/>
      <c r="F263" s="35"/>
      <c r="G263" s="35"/>
      <c r="H263" s="34"/>
    </row>
    <row r="264" ht="12.75" customHeight="1">
      <c r="E264" s="35"/>
      <c r="F264" s="35"/>
      <c r="G264" s="35"/>
      <c r="H264" s="34"/>
    </row>
    <row r="265" ht="12.75" customHeight="1">
      <c r="E265" s="35"/>
      <c r="F265" s="35"/>
      <c r="G265" s="35"/>
      <c r="H265" s="34"/>
    </row>
    <row r="266" ht="12.75" customHeight="1">
      <c r="E266" s="35"/>
      <c r="F266" s="35"/>
      <c r="G266" s="35"/>
      <c r="H266" s="34"/>
    </row>
    <row r="267" ht="12.75" customHeight="1">
      <c r="E267" s="35"/>
      <c r="F267" s="35"/>
      <c r="G267" s="35"/>
      <c r="H267" s="34"/>
    </row>
    <row r="268" ht="12.75" customHeight="1">
      <c r="E268" s="35"/>
      <c r="F268" s="35"/>
      <c r="G268" s="35"/>
      <c r="H268" s="34"/>
    </row>
    <row r="269" ht="12.75" customHeight="1">
      <c r="E269" s="35"/>
      <c r="F269" s="35"/>
      <c r="G269" s="35"/>
      <c r="H269" s="34"/>
    </row>
    <row r="270" ht="12.75" customHeight="1">
      <c r="E270" s="35"/>
      <c r="F270" s="35"/>
      <c r="G270" s="35"/>
      <c r="H270" s="34"/>
    </row>
    <row r="271" ht="12.75" customHeight="1">
      <c r="E271" s="35"/>
      <c r="F271" s="35"/>
      <c r="G271" s="35"/>
      <c r="H271" s="34"/>
    </row>
    <row r="272" ht="12.75" customHeight="1">
      <c r="E272" s="35"/>
      <c r="F272" s="35"/>
      <c r="G272" s="35"/>
      <c r="H272" s="34"/>
    </row>
    <row r="273" ht="12.75" customHeight="1">
      <c r="E273" s="35"/>
      <c r="F273" s="35"/>
      <c r="G273" s="35"/>
      <c r="H273" s="34"/>
    </row>
    <row r="274" ht="12.75" customHeight="1">
      <c r="E274" s="35"/>
      <c r="F274" s="35"/>
      <c r="G274" s="35"/>
      <c r="H274" s="34"/>
    </row>
    <row r="275" ht="12.75" customHeight="1">
      <c r="E275" s="35"/>
      <c r="F275" s="35"/>
      <c r="G275" s="35"/>
      <c r="H275" s="34"/>
    </row>
    <row r="276" ht="12.75" customHeight="1">
      <c r="E276" s="35"/>
      <c r="F276" s="35"/>
      <c r="G276" s="35"/>
      <c r="H276" s="34"/>
    </row>
    <row r="277" ht="12.75" customHeight="1">
      <c r="E277" s="35"/>
      <c r="F277" s="35"/>
      <c r="G277" s="35"/>
      <c r="H277" s="34"/>
    </row>
    <row r="278" ht="12.75" customHeight="1">
      <c r="E278" s="35"/>
      <c r="F278" s="35"/>
      <c r="G278" s="35"/>
      <c r="H278" s="34"/>
    </row>
    <row r="279" ht="12.75" customHeight="1">
      <c r="E279" s="35"/>
      <c r="F279" s="35"/>
      <c r="G279" s="35"/>
      <c r="H279" s="34"/>
    </row>
    <row r="280" ht="12.75" customHeight="1">
      <c r="E280" s="35"/>
      <c r="F280" s="35"/>
      <c r="G280" s="35"/>
      <c r="H280" s="34"/>
    </row>
    <row r="281" ht="12.75" customHeight="1">
      <c r="E281" s="35"/>
      <c r="F281" s="35"/>
      <c r="G281" s="35"/>
      <c r="H281" s="34"/>
    </row>
    <row r="282" ht="12.75" customHeight="1">
      <c r="E282" s="35"/>
      <c r="F282" s="35"/>
      <c r="G282" s="35"/>
      <c r="H282" s="34"/>
    </row>
    <row r="283" ht="12.75" customHeight="1">
      <c r="E283" s="35"/>
      <c r="F283" s="35"/>
      <c r="G283" s="35"/>
      <c r="H283" s="34"/>
    </row>
    <row r="284" ht="12.75" customHeight="1">
      <c r="E284" s="35"/>
      <c r="F284" s="35"/>
      <c r="G284" s="35"/>
      <c r="H284" s="34"/>
    </row>
    <row r="285" ht="12.75" customHeight="1">
      <c r="E285" s="35"/>
      <c r="F285" s="35"/>
      <c r="G285" s="35"/>
      <c r="H285" s="34"/>
    </row>
    <row r="286" ht="12.75" customHeight="1">
      <c r="E286" s="35"/>
      <c r="F286" s="35"/>
      <c r="G286" s="35"/>
      <c r="H286" s="34"/>
    </row>
    <row r="287" ht="12.75" customHeight="1">
      <c r="E287" s="35"/>
      <c r="F287" s="35"/>
      <c r="G287" s="35"/>
      <c r="H287" s="34"/>
    </row>
    <row r="288" ht="12.75" customHeight="1">
      <c r="E288" s="35"/>
      <c r="F288" s="35"/>
      <c r="G288" s="35"/>
      <c r="H288" s="34"/>
    </row>
    <row r="289" ht="12.75" customHeight="1">
      <c r="E289" s="35"/>
      <c r="F289" s="35"/>
      <c r="G289" s="35"/>
      <c r="H289" s="34"/>
    </row>
    <row r="290" ht="12.75" customHeight="1">
      <c r="E290" s="35"/>
      <c r="F290" s="35"/>
      <c r="G290" s="35"/>
      <c r="H290" s="34"/>
    </row>
    <row r="291" ht="12.75" customHeight="1">
      <c r="E291" s="35"/>
      <c r="F291" s="35"/>
      <c r="G291" s="35"/>
      <c r="H291" s="34"/>
    </row>
    <row r="292" ht="12.75" customHeight="1">
      <c r="E292" s="35"/>
      <c r="F292" s="35"/>
      <c r="G292" s="35"/>
      <c r="H292" s="34"/>
    </row>
    <row r="293" ht="12.75" customHeight="1">
      <c r="E293" s="35"/>
      <c r="F293" s="35"/>
      <c r="G293" s="35"/>
      <c r="H293" s="34"/>
    </row>
    <row r="294" ht="12.75" customHeight="1">
      <c r="E294" s="35"/>
      <c r="F294" s="35"/>
      <c r="G294" s="35"/>
      <c r="H294" s="34"/>
    </row>
    <row r="295" ht="12.75" customHeight="1">
      <c r="E295" s="35"/>
      <c r="F295" s="35"/>
      <c r="G295" s="35"/>
      <c r="H295" s="34"/>
    </row>
    <row r="296" ht="12.75" customHeight="1">
      <c r="E296" s="35"/>
      <c r="F296" s="35"/>
      <c r="G296" s="35"/>
      <c r="H296" s="34"/>
    </row>
    <row r="297" ht="12.75" customHeight="1">
      <c r="E297" s="35"/>
      <c r="F297" s="35"/>
      <c r="G297" s="35"/>
      <c r="H297" s="34"/>
    </row>
    <row r="298" ht="12.75" customHeight="1">
      <c r="E298" s="35"/>
      <c r="F298" s="35"/>
      <c r="G298" s="35"/>
      <c r="H298" s="34"/>
    </row>
    <row r="299" ht="12.75" customHeight="1">
      <c r="E299" s="35"/>
      <c r="F299" s="35"/>
      <c r="G299" s="35"/>
      <c r="H299" s="34"/>
    </row>
    <row r="300" ht="12.75" customHeight="1">
      <c r="E300" s="35"/>
      <c r="F300" s="35"/>
      <c r="G300" s="35"/>
      <c r="H300" s="34"/>
    </row>
    <row r="301" ht="12.75" customHeight="1">
      <c r="E301" s="35"/>
      <c r="F301" s="35"/>
      <c r="G301" s="35"/>
      <c r="H301" s="34"/>
    </row>
    <row r="302" ht="12.75" customHeight="1">
      <c r="E302" s="35"/>
      <c r="F302" s="35"/>
      <c r="G302" s="35"/>
      <c r="H302" s="34"/>
    </row>
    <row r="303" ht="12.75" customHeight="1">
      <c r="E303" s="35"/>
      <c r="F303" s="35"/>
      <c r="G303" s="35"/>
      <c r="H303" s="34"/>
    </row>
    <row r="304" ht="12.75" customHeight="1">
      <c r="E304" s="35"/>
      <c r="F304" s="35"/>
      <c r="G304" s="35"/>
      <c r="H304" s="34"/>
    </row>
    <row r="305" ht="12.75" customHeight="1">
      <c r="E305" s="35"/>
      <c r="F305" s="35"/>
      <c r="G305" s="35"/>
      <c r="H305" s="34"/>
    </row>
    <row r="306" ht="12.75" customHeight="1">
      <c r="E306" s="35"/>
      <c r="F306" s="35"/>
      <c r="G306" s="35"/>
      <c r="H306" s="34"/>
    </row>
    <row r="307" ht="12.75" customHeight="1">
      <c r="E307" s="35"/>
      <c r="F307" s="35"/>
      <c r="G307" s="35"/>
      <c r="H307" s="34"/>
    </row>
    <row r="308" ht="12.75" customHeight="1">
      <c r="E308" s="35"/>
      <c r="F308" s="35"/>
      <c r="G308" s="35"/>
      <c r="H308" s="34"/>
    </row>
    <row r="309" ht="12.75" customHeight="1">
      <c r="E309" s="35"/>
      <c r="F309" s="35"/>
      <c r="G309" s="35"/>
      <c r="H309" s="34"/>
    </row>
    <row r="310" ht="12.75" customHeight="1">
      <c r="E310" s="35"/>
      <c r="F310" s="35"/>
      <c r="G310" s="35"/>
      <c r="H310" s="34"/>
    </row>
    <row r="311" ht="12.75" customHeight="1">
      <c r="E311" s="35"/>
      <c r="F311" s="35"/>
      <c r="G311" s="35"/>
      <c r="H311" s="34"/>
    </row>
    <row r="312" ht="12.75" customHeight="1">
      <c r="E312" s="35"/>
      <c r="F312" s="35"/>
      <c r="G312" s="35"/>
      <c r="H312" s="34"/>
    </row>
    <row r="313" ht="12.75" customHeight="1">
      <c r="E313" s="35"/>
      <c r="F313" s="35"/>
      <c r="G313" s="35"/>
      <c r="H313" s="34"/>
    </row>
    <row r="314" ht="12.75" customHeight="1">
      <c r="E314" s="35"/>
      <c r="F314" s="35"/>
      <c r="G314" s="35"/>
      <c r="H314" s="34"/>
    </row>
    <row r="315" ht="12.75" customHeight="1">
      <c r="E315" s="35"/>
      <c r="F315" s="35"/>
      <c r="G315" s="35"/>
      <c r="H315" s="34"/>
    </row>
    <row r="316" ht="12.75" customHeight="1">
      <c r="E316" s="35"/>
      <c r="F316" s="35"/>
      <c r="G316" s="35"/>
      <c r="H316" s="34"/>
    </row>
    <row r="317" ht="12.75" customHeight="1">
      <c r="E317" s="35"/>
      <c r="F317" s="35"/>
      <c r="G317" s="35"/>
      <c r="H317" s="34"/>
    </row>
    <row r="318" ht="12.75" customHeight="1">
      <c r="E318" s="35"/>
      <c r="F318" s="35"/>
      <c r="G318" s="35"/>
      <c r="H318" s="34"/>
    </row>
    <row r="319" ht="12.75" customHeight="1">
      <c r="E319" s="35"/>
      <c r="F319" s="35"/>
      <c r="G319" s="35"/>
      <c r="H319" s="34"/>
    </row>
    <row r="320" ht="12.75" customHeight="1">
      <c r="E320" s="35"/>
      <c r="F320" s="35"/>
      <c r="G320" s="35"/>
      <c r="H320" s="34"/>
    </row>
    <row r="321" ht="12.75" customHeight="1">
      <c r="E321" s="35"/>
      <c r="F321" s="35"/>
      <c r="G321" s="35"/>
      <c r="H321" s="34"/>
    </row>
    <row r="322" ht="12.75" customHeight="1">
      <c r="E322" s="35"/>
      <c r="F322" s="35"/>
      <c r="G322" s="35"/>
      <c r="H322" s="34"/>
    </row>
    <row r="323" ht="12.75" customHeight="1">
      <c r="E323" s="35"/>
      <c r="F323" s="35"/>
      <c r="G323" s="35"/>
      <c r="H323" s="34"/>
    </row>
    <row r="324" ht="12.75" customHeight="1">
      <c r="E324" s="35"/>
      <c r="F324" s="35"/>
      <c r="G324" s="35"/>
      <c r="H324" s="34"/>
    </row>
    <row r="325" ht="12.75" customHeight="1">
      <c r="E325" s="35"/>
      <c r="F325" s="35"/>
      <c r="G325" s="35"/>
      <c r="H325" s="34"/>
    </row>
    <row r="326" ht="12.75" customHeight="1">
      <c r="E326" s="35"/>
      <c r="F326" s="35"/>
      <c r="G326" s="35"/>
      <c r="H326" s="34"/>
    </row>
    <row r="327" ht="12.75" customHeight="1">
      <c r="E327" s="35"/>
      <c r="F327" s="35"/>
      <c r="G327" s="35"/>
      <c r="H327" s="34"/>
    </row>
    <row r="328" ht="12.75" customHeight="1">
      <c r="E328" s="35"/>
      <c r="F328" s="35"/>
      <c r="G328" s="35"/>
      <c r="H328" s="34"/>
    </row>
    <row r="329" ht="12.75" customHeight="1">
      <c r="E329" s="35"/>
      <c r="F329" s="35"/>
      <c r="G329" s="35"/>
      <c r="H329" s="34"/>
    </row>
    <row r="330" ht="12.75" customHeight="1">
      <c r="E330" s="35"/>
      <c r="F330" s="35"/>
      <c r="G330" s="35"/>
      <c r="H330" s="34"/>
    </row>
    <row r="331" ht="12.75" customHeight="1">
      <c r="E331" s="35"/>
      <c r="F331" s="35"/>
      <c r="G331" s="35"/>
      <c r="H331" s="34"/>
    </row>
    <row r="332" ht="12.75" customHeight="1">
      <c r="E332" s="35"/>
      <c r="F332" s="35"/>
      <c r="G332" s="35"/>
      <c r="H332" s="34"/>
    </row>
    <row r="333" ht="12.75" customHeight="1">
      <c r="E333" s="35"/>
      <c r="F333" s="35"/>
      <c r="G333" s="35"/>
      <c r="H333" s="34"/>
    </row>
    <row r="334" ht="12.75" customHeight="1">
      <c r="E334" s="35"/>
      <c r="F334" s="35"/>
      <c r="G334" s="35"/>
      <c r="H334" s="34"/>
    </row>
    <row r="335" ht="12.75" customHeight="1">
      <c r="E335" s="35"/>
      <c r="F335" s="35"/>
      <c r="G335" s="35"/>
      <c r="H335" s="34"/>
    </row>
    <row r="336" ht="12.75" customHeight="1">
      <c r="E336" s="35"/>
      <c r="F336" s="35"/>
      <c r="G336" s="35"/>
      <c r="H336" s="34"/>
    </row>
    <row r="337" ht="12.75" customHeight="1">
      <c r="E337" s="35"/>
      <c r="F337" s="35"/>
      <c r="G337" s="35"/>
      <c r="H337" s="34"/>
    </row>
    <row r="338" ht="12.75" customHeight="1">
      <c r="E338" s="35"/>
      <c r="F338" s="35"/>
      <c r="G338" s="35"/>
      <c r="H338" s="34"/>
    </row>
    <row r="339" ht="12.75" customHeight="1">
      <c r="E339" s="35"/>
      <c r="F339" s="35"/>
      <c r="G339" s="35"/>
      <c r="H339" s="34"/>
    </row>
    <row r="340" ht="12.75" customHeight="1">
      <c r="E340" s="35"/>
      <c r="F340" s="35"/>
      <c r="G340" s="35"/>
      <c r="H340" s="34"/>
    </row>
    <row r="341" ht="12.75" customHeight="1">
      <c r="E341" s="35"/>
      <c r="F341" s="35"/>
      <c r="G341" s="35"/>
      <c r="H341" s="34"/>
    </row>
    <row r="342" ht="12.75" customHeight="1">
      <c r="E342" s="35"/>
      <c r="F342" s="35"/>
      <c r="G342" s="35"/>
      <c r="H342" s="34"/>
    </row>
    <row r="343" ht="12.75" customHeight="1">
      <c r="E343" s="35"/>
      <c r="F343" s="35"/>
      <c r="G343" s="35"/>
      <c r="H343" s="34"/>
    </row>
    <row r="344" ht="12.75" customHeight="1">
      <c r="E344" s="35"/>
      <c r="F344" s="35"/>
      <c r="G344" s="35"/>
      <c r="H344" s="34"/>
    </row>
    <row r="345" ht="12.75" customHeight="1">
      <c r="E345" s="35"/>
      <c r="F345" s="35"/>
      <c r="G345" s="35"/>
      <c r="H345" s="34"/>
    </row>
    <row r="346" ht="12.75" customHeight="1">
      <c r="E346" s="35"/>
      <c r="F346" s="35"/>
      <c r="G346" s="35"/>
      <c r="H346" s="34"/>
    </row>
    <row r="347" ht="12.75" customHeight="1">
      <c r="E347" s="35"/>
      <c r="F347" s="35"/>
      <c r="G347" s="35"/>
      <c r="H347" s="34"/>
    </row>
    <row r="348" ht="12.75" customHeight="1">
      <c r="E348" s="35"/>
      <c r="F348" s="35"/>
      <c r="G348" s="35"/>
      <c r="H348" s="34"/>
    </row>
    <row r="349" ht="12.75" customHeight="1">
      <c r="E349" s="35"/>
      <c r="F349" s="35"/>
      <c r="G349" s="35"/>
      <c r="H349" s="34"/>
    </row>
    <row r="350" ht="12.75" customHeight="1">
      <c r="E350" s="35"/>
      <c r="F350" s="35"/>
      <c r="G350" s="35"/>
      <c r="H350" s="34"/>
    </row>
    <row r="351" ht="12.75" customHeight="1">
      <c r="E351" s="35"/>
      <c r="F351" s="35"/>
      <c r="G351" s="35"/>
      <c r="H351" s="34"/>
    </row>
    <row r="352" ht="12.75" customHeight="1">
      <c r="E352" s="35"/>
      <c r="F352" s="35"/>
      <c r="G352" s="35"/>
      <c r="H352" s="34"/>
    </row>
    <row r="353" ht="12.75" customHeight="1">
      <c r="E353" s="35"/>
      <c r="F353" s="35"/>
      <c r="G353" s="35"/>
      <c r="H353" s="34"/>
    </row>
    <row r="354" ht="12.75" customHeight="1">
      <c r="E354" s="35"/>
      <c r="F354" s="35"/>
      <c r="G354" s="35"/>
      <c r="H354" s="34"/>
    </row>
    <row r="355" ht="12.75" customHeight="1">
      <c r="E355" s="35"/>
      <c r="F355" s="35"/>
      <c r="G355" s="35"/>
      <c r="H355" s="34"/>
    </row>
    <row r="356" ht="12.75" customHeight="1">
      <c r="E356" s="35"/>
      <c r="F356" s="35"/>
      <c r="G356" s="35"/>
      <c r="H356" s="34"/>
    </row>
    <row r="357" ht="12.75" customHeight="1">
      <c r="E357" s="35"/>
      <c r="F357" s="35"/>
      <c r="G357" s="35"/>
      <c r="H357" s="34"/>
    </row>
    <row r="358" ht="12.75" customHeight="1">
      <c r="E358" s="35"/>
      <c r="F358" s="35"/>
      <c r="G358" s="35"/>
      <c r="H358" s="34"/>
    </row>
    <row r="359" ht="12.75" customHeight="1">
      <c r="E359" s="35"/>
      <c r="F359" s="35"/>
      <c r="G359" s="35"/>
      <c r="H359" s="34"/>
    </row>
    <row r="360" ht="12.75" customHeight="1">
      <c r="E360" s="35"/>
      <c r="F360" s="35"/>
      <c r="G360" s="35"/>
      <c r="H360" s="34"/>
    </row>
    <row r="361" ht="12.75" customHeight="1">
      <c r="E361" s="35"/>
      <c r="F361" s="35"/>
      <c r="G361" s="35"/>
      <c r="H361" s="34"/>
    </row>
    <row r="362" ht="12.75" customHeight="1">
      <c r="E362" s="35"/>
      <c r="F362" s="35"/>
      <c r="G362" s="35"/>
      <c r="H362" s="34"/>
    </row>
    <row r="363" ht="12.75" customHeight="1">
      <c r="E363" s="35"/>
      <c r="F363" s="35"/>
      <c r="G363" s="35"/>
      <c r="H363" s="34"/>
    </row>
    <row r="364" ht="12.75" customHeight="1">
      <c r="E364" s="35"/>
      <c r="F364" s="35"/>
      <c r="G364" s="35"/>
      <c r="H364" s="34"/>
    </row>
    <row r="365" ht="12.75" customHeight="1">
      <c r="E365" s="35"/>
      <c r="F365" s="35"/>
      <c r="G365" s="35"/>
      <c r="H365" s="34"/>
    </row>
    <row r="366" ht="12.75" customHeight="1">
      <c r="E366" s="35"/>
      <c r="F366" s="35"/>
      <c r="G366" s="35"/>
      <c r="H366" s="34"/>
    </row>
    <row r="367" ht="12.75" customHeight="1">
      <c r="E367" s="35"/>
      <c r="F367" s="35"/>
      <c r="G367" s="35"/>
      <c r="H367" s="34"/>
    </row>
    <row r="368" ht="12.75" customHeight="1">
      <c r="E368" s="35"/>
      <c r="F368" s="35"/>
      <c r="G368" s="35"/>
      <c r="H368" s="34"/>
    </row>
    <row r="369" ht="12.75" customHeight="1">
      <c r="E369" s="35"/>
      <c r="F369" s="35"/>
      <c r="G369" s="35"/>
      <c r="H369" s="34"/>
    </row>
    <row r="370" ht="12.75" customHeight="1">
      <c r="E370" s="35"/>
      <c r="F370" s="35"/>
      <c r="G370" s="35"/>
      <c r="H370" s="34"/>
    </row>
    <row r="371" ht="12.75" customHeight="1">
      <c r="E371" s="35"/>
      <c r="F371" s="35"/>
      <c r="G371" s="35"/>
      <c r="H371" s="34"/>
    </row>
    <row r="372" ht="12.75" customHeight="1">
      <c r="E372" s="35"/>
      <c r="F372" s="35"/>
      <c r="G372" s="35"/>
      <c r="H372" s="34"/>
    </row>
    <row r="373" ht="12.75" customHeight="1">
      <c r="E373" s="35"/>
      <c r="F373" s="35"/>
      <c r="G373" s="35"/>
      <c r="H373" s="34"/>
    </row>
    <row r="374" ht="12.75" customHeight="1">
      <c r="E374" s="35"/>
      <c r="F374" s="35"/>
      <c r="G374" s="35"/>
      <c r="H374" s="34"/>
    </row>
    <row r="375" ht="12.75" customHeight="1">
      <c r="E375" s="35"/>
      <c r="F375" s="35"/>
      <c r="G375" s="35"/>
      <c r="H375" s="34"/>
    </row>
    <row r="376" ht="12.75" customHeight="1">
      <c r="E376" s="35"/>
      <c r="F376" s="35"/>
      <c r="G376" s="35"/>
      <c r="H376" s="34"/>
    </row>
    <row r="377" ht="12.75" customHeight="1">
      <c r="E377" s="35"/>
      <c r="F377" s="35"/>
      <c r="G377" s="35"/>
      <c r="H377" s="34"/>
    </row>
    <row r="378" ht="12.75" customHeight="1">
      <c r="E378" s="35"/>
      <c r="F378" s="35"/>
      <c r="G378" s="35"/>
      <c r="H378" s="34"/>
    </row>
    <row r="379" ht="12.75" customHeight="1">
      <c r="E379" s="35"/>
      <c r="F379" s="35"/>
      <c r="G379" s="35"/>
      <c r="H379" s="34"/>
    </row>
    <row r="380" ht="12.75" customHeight="1">
      <c r="E380" s="35"/>
      <c r="F380" s="35"/>
      <c r="G380" s="35"/>
      <c r="H380" s="34"/>
    </row>
    <row r="381" ht="12.75" customHeight="1">
      <c r="E381" s="35"/>
      <c r="F381" s="35"/>
      <c r="G381" s="35"/>
      <c r="H381" s="34"/>
    </row>
    <row r="382" ht="12.75" customHeight="1">
      <c r="E382" s="35"/>
      <c r="F382" s="35"/>
      <c r="G382" s="35"/>
      <c r="H382" s="34"/>
    </row>
    <row r="383" ht="12.75" customHeight="1">
      <c r="E383" s="35"/>
      <c r="F383" s="35"/>
      <c r="G383" s="35"/>
      <c r="H383" s="34"/>
    </row>
    <row r="384" ht="12.75" customHeight="1">
      <c r="E384" s="35"/>
      <c r="F384" s="35"/>
      <c r="G384" s="35"/>
      <c r="H384" s="34"/>
    </row>
    <row r="385" ht="12.75" customHeight="1">
      <c r="E385" s="35"/>
      <c r="F385" s="35"/>
      <c r="G385" s="35"/>
      <c r="H385" s="34"/>
    </row>
    <row r="386" ht="12.75" customHeight="1">
      <c r="E386" s="35"/>
      <c r="F386" s="35"/>
      <c r="G386" s="35"/>
      <c r="H386" s="34"/>
    </row>
    <row r="387" ht="12.75" customHeight="1">
      <c r="E387" s="35"/>
      <c r="F387" s="35"/>
      <c r="G387" s="35"/>
      <c r="H387" s="34"/>
    </row>
    <row r="388" ht="12.75" customHeight="1">
      <c r="E388" s="35"/>
      <c r="F388" s="35"/>
      <c r="G388" s="35"/>
      <c r="H388" s="34"/>
    </row>
    <row r="389" ht="12.75" customHeight="1">
      <c r="E389" s="35"/>
      <c r="F389" s="35"/>
      <c r="G389" s="35"/>
      <c r="H389" s="34"/>
    </row>
    <row r="390" ht="12.75" customHeight="1">
      <c r="E390" s="35"/>
      <c r="F390" s="35"/>
      <c r="G390" s="35"/>
      <c r="H390" s="34"/>
    </row>
    <row r="391" ht="12.75" customHeight="1">
      <c r="E391" s="35"/>
      <c r="F391" s="35"/>
      <c r="G391" s="35"/>
      <c r="H391" s="34"/>
    </row>
    <row r="392" ht="12.75" customHeight="1">
      <c r="E392" s="35"/>
      <c r="F392" s="35"/>
      <c r="G392" s="35"/>
      <c r="H392" s="34"/>
    </row>
    <row r="393" ht="12.75" customHeight="1">
      <c r="E393" s="35"/>
      <c r="F393" s="35"/>
      <c r="G393" s="35"/>
      <c r="H393" s="34"/>
    </row>
    <row r="394" ht="12.75" customHeight="1">
      <c r="E394" s="35"/>
      <c r="F394" s="35"/>
      <c r="G394" s="35"/>
      <c r="H394" s="34"/>
    </row>
    <row r="395" ht="12.75" customHeight="1">
      <c r="E395" s="35"/>
      <c r="F395" s="35"/>
      <c r="G395" s="35"/>
      <c r="H395" s="34"/>
    </row>
    <row r="396" ht="12.75" customHeight="1">
      <c r="E396" s="35"/>
      <c r="F396" s="35"/>
      <c r="G396" s="35"/>
      <c r="H396" s="34"/>
    </row>
    <row r="397" ht="12.75" customHeight="1">
      <c r="E397" s="35"/>
      <c r="F397" s="35"/>
      <c r="G397" s="35"/>
      <c r="H397" s="34"/>
    </row>
    <row r="398" ht="12.75" customHeight="1">
      <c r="E398" s="35"/>
      <c r="F398" s="35"/>
      <c r="G398" s="35"/>
      <c r="H398" s="34"/>
    </row>
    <row r="399" ht="12.75" customHeight="1">
      <c r="E399" s="35"/>
      <c r="F399" s="35"/>
      <c r="G399" s="35"/>
      <c r="H399" s="34"/>
    </row>
    <row r="400" ht="12.75" customHeight="1">
      <c r="E400" s="35"/>
      <c r="F400" s="35"/>
      <c r="G400" s="35"/>
      <c r="H400" s="34"/>
    </row>
    <row r="401" ht="12.75" customHeight="1">
      <c r="E401" s="35"/>
      <c r="F401" s="35"/>
      <c r="G401" s="35"/>
      <c r="H401" s="34"/>
    </row>
    <row r="402" ht="12.75" customHeight="1">
      <c r="E402" s="35"/>
      <c r="F402" s="35"/>
      <c r="G402" s="35"/>
      <c r="H402" s="34"/>
    </row>
    <row r="403" ht="12.75" customHeight="1">
      <c r="E403" s="35"/>
      <c r="F403" s="35"/>
      <c r="G403" s="35"/>
      <c r="H403" s="34"/>
    </row>
    <row r="404" ht="12.75" customHeight="1">
      <c r="E404" s="35"/>
      <c r="F404" s="35"/>
      <c r="G404" s="35"/>
      <c r="H404" s="34"/>
    </row>
    <row r="405" ht="12.75" customHeight="1">
      <c r="E405" s="35"/>
      <c r="F405" s="35"/>
      <c r="G405" s="35"/>
      <c r="H405" s="34"/>
    </row>
    <row r="406" ht="12.75" customHeight="1">
      <c r="E406" s="35"/>
      <c r="F406" s="35"/>
      <c r="G406" s="35"/>
      <c r="H406" s="34"/>
    </row>
    <row r="407" ht="12.75" customHeight="1">
      <c r="E407" s="35"/>
      <c r="F407" s="35"/>
      <c r="G407" s="35"/>
      <c r="H407" s="34"/>
    </row>
    <row r="408" ht="12.75" customHeight="1">
      <c r="E408" s="35"/>
      <c r="F408" s="35"/>
      <c r="G408" s="35"/>
      <c r="H408" s="34"/>
    </row>
    <row r="409" ht="12.75" customHeight="1">
      <c r="E409" s="35"/>
      <c r="F409" s="35"/>
      <c r="G409" s="35"/>
      <c r="H409" s="34"/>
    </row>
    <row r="410" ht="12.75" customHeight="1">
      <c r="E410" s="35"/>
      <c r="F410" s="35"/>
      <c r="G410" s="35"/>
      <c r="H410" s="34"/>
    </row>
    <row r="411" ht="12.75" customHeight="1">
      <c r="E411" s="35"/>
      <c r="F411" s="35"/>
      <c r="G411" s="35"/>
      <c r="H411" s="34"/>
    </row>
    <row r="412" ht="12.75" customHeight="1">
      <c r="E412" s="35"/>
      <c r="F412" s="35"/>
      <c r="G412" s="35"/>
      <c r="H412" s="34"/>
    </row>
    <row r="413" ht="12.75" customHeight="1">
      <c r="E413" s="35"/>
      <c r="F413" s="35"/>
      <c r="G413" s="35"/>
      <c r="H413" s="34"/>
    </row>
    <row r="414" ht="12.75" customHeight="1">
      <c r="E414" s="35"/>
      <c r="F414" s="35"/>
      <c r="G414" s="35"/>
      <c r="H414" s="34"/>
    </row>
    <row r="415" ht="12.75" customHeight="1">
      <c r="E415" s="35"/>
      <c r="F415" s="35"/>
      <c r="G415" s="35"/>
      <c r="H415" s="34"/>
    </row>
    <row r="416" ht="12.75" customHeight="1">
      <c r="E416" s="35"/>
      <c r="F416" s="35"/>
      <c r="G416" s="35"/>
      <c r="H416" s="34"/>
    </row>
    <row r="417" ht="12.75" customHeight="1">
      <c r="E417" s="35"/>
      <c r="F417" s="35"/>
      <c r="G417" s="35"/>
      <c r="H417" s="34"/>
    </row>
    <row r="418" ht="12.75" customHeight="1">
      <c r="E418" s="35"/>
      <c r="F418" s="35"/>
      <c r="G418" s="35"/>
      <c r="H418" s="34"/>
    </row>
    <row r="419" ht="12.75" customHeight="1">
      <c r="E419" s="35"/>
      <c r="F419" s="35"/>
      <c r="G419" s="35"/>
      <c r="H419" s="34"/>
    </row>
    <row r="420" ht="12.75" customHeight="1">
      <c r="E420" s="35"/>
      <c r="F420" s="35"/>
      <c r="G420" s="35"/>
      <c r="H420" s="34"/>
    </row>
    <row r="421" ht="12.75" customHeight="1">
      <c r="E421" s="35"/>
      <c r="F421" s="35"/>
      <c r="G421" s="35"/>
      <c r="H421" s="34"/>
    </row>
    <row r="422" ht="12.75" customHeight="1">
      <c r="E422" s="35"/>
      <c r="F422" s="35"/>
      <c r="G422" s="35"/>
      <c r="H422" s="34"/>
    </row>
    <row r="423" ht="12.75" customHeight="1">
      <c r="E423" s="35"/>
      <c r="F423" s="35"/>
      <c r="G423" s="35"/>
      <c r="H423" s="34"/>
    </row>
    <row r="424" ht="12.75" customHeight="1">
      <c r="E424" s="35"/>
      <c r="F424" s="35"/>
      <c r="G424" s="35"/>
      <c r="H424" s="34"/>
    </row>
    <row r="425" ht="12.75" customHeight="1">
      <c r="E425" s="35"/>
      <c r="F425" s="35"/>
      <c r="G425" s="35"/>
      <c r="H425" s="34"/>
    </row>
    <row r="426" ht="12.75" customHeight="1">
      <c r="E426" s="35"/>
      <c r="F426" s="35"/>
      <c r="G426" s="35"/>
      <c r="H426" s="34"/>
    </row>
    <row r="427" ht="12.75" customHeight="1">
      <c r="E427" s="35"/>
      <c r="F427" s="35"/>
      <c r="G427" s="35"/>
      <c r="H427" s="34"/>
    </row>
    <row r="428" ht="12.75" customHeight="1">
      <c r="E428" s="35"/>
      <c r="F428" s="35"/>
      <c r="G428" s="35"/>
      <c r="H428" s="34"/>
    </row>
    <row r="429" ht="12.75" customHeight="1">
      <c r="E429" s="35"/>
      <c r="F429" s="35"/>
      <c r="G429" s="35"/>
      <c r="H429" s="34"/>
    </row>
    <row r="430" ht="12.75" customHeight="1">
      <c r="E430" s="35"/>
      <c r="F430" s="35"/>
      <c r="G430" s="35"/>
      <c r="H430" s="34"/>
    </row>
    <row r="431" ht="12.75" customHeight="1">
      <c r="E431" s="35"/>
      <c r="F431" s="35"/>
      <c r="G431" s="35"/>
      <c r="H431" s="34"/>
    </row>
    <row r="432" ht="12.75" customHeight="1">
      <c r="E432" s="35"/>
      <c r="F432" s="35"/>
      <c r="G432" s="35"/>
      <c r="H432" s="34"/>
    </row>
    <row r="433" ht="12.75" customHeight="1">
      <c r="E433" s="35"/>
      <c r="F433" s="35"/>
      <c r="G433" s="35"/>
      <c r="H433" s="34"/>
    </row>
    <row r="434" ht="12.75" customHeight="1">
      <c r="E434" s="35"/>
      <c r="F434" s="35"/>
      <c r="G434" s="35"/>
      <c r="H434" s="34"/>
    </row>
    <row r="435" ht="12.75" customHeight="1">
      <c r="E435" s="35"/>
      <c r="F435" s="35"/>
      <c r="G435" s="35"/>
      <c r="H435" s="34"/>
    </row>
    <row r="436" ht="12.75" customHeight="1">
      <c r="E436" s="35"/>
      <c r="F436" s="35"/>
      <c r="G436" s="35"/>
      <c r="H436" s="34"/>
    </row>
    <row r="437" ht="12.75" customHeight="1">
      <c r="E437" s="35"/>
      <c r="F437" s="35"/>
      <c r="G437" s="35"/>
      <c r="H437" s="34"/>
    </row>
    <row r="438" ht="12.75" customHeight="1">
      <c r="E438" s="35"/>
      <c r="F438" s="35"/>
      <c r="G438" s="35"/>
      <c r="H438" s="34"/>
    </row>
    <row r="439" ht="12.75" customHeight="1">
      <c r="E439" s="35"/>
      <c r="F439" s="35"/>
      <c r="G439" s="35"/>
      <c r="H439" s="34"/>
    </row>
    <row r="440" ht="12.75" customHeight="1">
      <c r="E440" s="35"/>
      <c r="F440" s="35"/>
      <c r="G440" s="35"/>
      <c r="H440" s="34"/>
    </row>
    <row r="441" ht="12.75" customHeight="1">
      <c r="E441" s="35"/>
      <c r="F441" s="35"/>
      <c r="G441" s="35"/>
      <c r="H441" s="34"/>
    </row>
    <row r="442" ht="12.75" customHeight="1">
      <c r="E442" s="35"/>
      <c r="F442" s="35"/>
      <c r="G442" s="35"/>
      <c r="H442" s="34"/>
    </row>
    <row r="443" ht="12.75" customHeight="1">
      <c r="E443" s="35"/>
      <c r="F443" s="35"/>
      <c r="G443" s="35"/>
      <c r="H443" s="34"/>
    </row>
    <row r="444" ht="12.75" customHeight="1">
      <c r="E444" s="35"/>
      <c r="F444" s="35"/>
      <c r="G444" s="35"/>
      <c r="H444" s="34"/>
    </row>
    <row r="445" ht="12.75" customHeight="1">
      <c r="E445" s="35"/>
      <c r="F445" s="35"/>
      <c r="G445" s="35"/>
      <c r="H445" s="34"/>
    </row>
    <row r="446" ht="12.75" customHeight="1">
      <c r="E446" s="35"/>
      <c r="F446" s="35"/>
      <c r="G446" s="35"/>
      <c r="H446" s="34"/>
    </row>
    <row r="447" ht="12.75" customHeight="1">
      <c r="E447" s="35"/>
      <c r="F447" s="35"/>
      <c r="G447" s="35"/>
      <c r="H447" s="34"/>
    </row>
    <row r="448" ht="12.75" customHeight="1">
      <c r="E448" s="35"/>
      <c r="F448" s="35"/>
      <c r="G448" s="35"/>
      <c r="H448" s="34"/>
    </row>
    <row r="449" ht="12.75" customHeight="1">
      <c r="E449" s="35"/>
      <c r="F449" s="35"/>
      <c r="G449" s="35"/>
      <c r="H449" s="34"/>
    </row>
    <row r="450" ht="12.75" customHeight="1">
      <c r="E450" s="35"/>
      <c r="F450" s="35"/>
      <c r="G450" s="35"/>
      <c r="H450" s="34"/>
    </row>
    <row r="451" ht="12.75" customHeight="1">
      <c r="E451" s="35"/>
      <c r="F451" s="35"/>
      <c r="G451" s="35"/>
      <c r="H451" s="34"/>
    </row>
    <row r="452" ht="12.75" customHeight="1">
      <c r="E452" s="35"/>
      <c r="F452" s="35"/>
      <c r="G452" s="35"/>
      <c r="H452" s="34"/>
    </row>
    <row r="453" ht="12.75" customHeight="1">
      <c r="E453" s="35"/>
      <c r="F453" s="35"/>
      <c r="G453" s="35"/>
      <c r="H453" s="34"/>
    </row>
    <row r="454" ht="12.75" customHeight="1">
      <c r="E454" s="35"/>
      <c r="F454" s="35"/>
      <c r="G454" s="35"/>
      <c r="H454" s="34"/>
    </row>
    <row r="455" ht="12.75" customHeight="1">
      <c r="E455" s="35"/>
      <c r="F455" s="35"/>
      <c r="G455" s="35"/>
      <c r="H455" s="34"/>
    </row>
    <row r="456" ht="12.75" customHeight="1">
      <c r="E456" s="35"/>
      <c r="F456" s="35"/>
      <c r="G456" s="35"/>
      <c r="H456" s="34"/>
    </row>
    <row r="457" ht="12.75" customHeight="1">
      <c r="E457" s="35"/>
      <c r="F457" s="35"/>
      <c r="G457" s="35"/>
      <c r="H457" s="34"/>
    </row>
    <row r="458" ht="12.75" customHeight="1">
      <c r="E458" s="35"/>
      <c r="F458" s="35"/>
      <c r="G458" s="35"/>
      <c r="H458" s="34"/>
    </row>
    <row r="459" ht="12.75" customHeight="1">
      <c r="E459" s="35"/>
      <c r="F459" s="35"/>
      <c r="G459" s="35"/>
      <c r="H459" s="34"/>
    </row>
    <row r="460" ht="12.75" customHeight="1">
      <c r="E460" s="35"/>
      <c r="F460" s="35"/>
      <c r="G460" s="35"/>
      <c r="H460" s="34"/>
    </row>
    <row r="461" ht="12.75" customHeight="1">
      <c r="E461" s="35"/>
      <c r="F461" s="35"/>
      <c r="G461" s="35"/>
      <c r="H461" s="34"/>
    </row>
    <row r="462" ht="12.75" customHeight="1">
      <c r="E462" s="35"/>
      <c r="F462" s="35"/>
      <c r="G462" s="35"/>
      <c r="H462" s="34"/>
    </row>
    <row r="463" ht="12.75" customHeight="1">
      <c r="E463" s="35"/>
      <c r="F463" s="35"/>
      <c r="G463" s="35"/>
      <c r="H463" s="34"/>
    </row>
    <row r="464" ht="12.75" customHeight="1">
      <c r="E464" s="35"/>
      <c r="F464" s="35"/>
      <c r="G464" s="35"/>
      <c r="H464" s="34"/>
    </row>
    <row r="465" ht="12.75" customHeight="1">
      <c r="E465" s="35"/>
      <c r="F465" s="35"/>
      <c r="G465" s="35"/>
      <c r="H465" s="34"/>
    </row>
    <row r="466" ht="12.75" customHeight="1">
      <c r="E466" s="35"/>
      <c r="F466" s="35"/>
      <c r="G466" s="35"/>
      <c r="H466" s="34"/>
    </row>
    <row r="467" ht="12.75" customHeight="1">
      <c r="E467" s="35"/>
      <c r="F467" s="35"/>
      <c r="G467" s="35"/>
      <c r="H467" s="34"/>
    </row>
    <row r="468" ht="12.75" customHeight="1">
      <c r="E468" s="35"/>
      <c r="F468" s="35"/>
      <c r="G468" s="35"/>
      <c r="H468" s="34"/>
    </row>
    <row r="469" ht="12.75" customHeight="1">
      <c r="E469" s="35"/>
      <c r="F469" s="35"/>
      <c r="G469" s="35"/>
      <c r="H469" s="34"/>
    </row>
    <row r="470" ht="12.75" customHeight="1">
      <c r="E470" s="35"/>
      <c r="F470" s="35"/>
      <c r="G470" s="35"/>
      <c r="H470" s="34"/>
    </row>
    <row r="471" ht="12.75" customHeight="1">
      <c r="E471" s="35"/>
      <c r="F471" s="35"/>
      <c r="G471" s="35"/>
      <c r="H471" s="34"/>
    </row>
    <row r="472" ht="12.75" customHeight="1">
      <c r="E472" s="35"/>
      <c r="F472" s="35"/>
      <c r="G472" s="35"/>
      <c r="H472" s="34"/>
    </row>
    <row r="473" ht="12.75" customHeight="1">
      <c r="E473" s="35"/>
      <c r="F473" s="35"/>
      <c r="G473" s="35"/>
      <c r="H473" s="34"/>
    </row>
    <row r="474" ht="12.75" customHeight="1">
      <c r="E474" s="35"/>
      <c r="F474" s="35"/>
      <c r="G474" s="35"/>
      <c r="H474" s="34"/>
    </row>
    <row r="475" ht="12.75" customHeight="1">
      <c r="E475" s="35"/>
      <c r="F475" s="35"/>
      <c r="G475" s="35"/>
      <c r="H475" s="34"/>
    </row>
    <row r="476" ht="12.75" customHeight="1">
      <c r="E476" s="35"/>
      <c r="F476" s="35"/>
      <c r="G476" s="35"/>
      <c r="H476" s="34"/>
    </row>
    <row r="477" ht="12.75" customHeight="1">
      <c r="E477" s="35"/>
      <c r="F477" s="35"/>
      <c r="G477" s="35"/>
      <c r="H477" s="34"/>
    </row>
    <row r="478" ht="12.75" customHeight="1">
      <c r="E478" s="35"/>
      <c r="F478" s="35"/>
      <c r="G478" s="35"/>
      <c r="H478" s="34"/>
    </row>
    <row r="479" ht="12.75" customHeight="1">
      <c r="E479" s="35"/>
      <c r="F479" s="35"/>
      <c r="G479" s="35"/>
      <c r="H479" s="34"/>
    </row>
    <row r="480" ht="12.75" customHeight="1">
      <c r="E480" s="35"/>
      <c r="F480" s="35"/>
      <c r="G480" s="35"/>
      <c r="H480" s="34"/>
    </row>
    <row r="481" ht="12.75" customHeight="1">
      <c r="E481" s="35"/>
      <c r="F481" s="35"/>
      <c r="G481" s="35"/>
      <c r="H481" s="34"/>
    </row>
    <row r="482" ht="12.75" customHeight="1">
      <c r="E482" s="35"/>
      <c r="F482" s="35"/>
      <c r="G482" s="35"/>
      <c r="H482" s="34"/>
    </row>
    <row r="483" ht="12.75" customHeight="1">
      <c r="E483" s="35"/>
      <c r="F483" s="35"/>
      <c r="G483" s="35"/>
      <c r="H483" s="34"/>
    </row>
    <row r="484" ht="12.75" customHeight="1">
      <c r="E484" s="35"/>
      <c r="F484" s="35"/>
      <c r="G484" s="35"/>
      <c r="H484" s="34"/>
    </row>
    <row r="485" ht="12.75" customHeight="1">
      <c r="E485" s="35"/>
      <c r="F485" s="35"/>
      <c r="G485" s="35"/>
      <c r="H485" s="34"/>
    </row>
    <row r="486" ht="12.75" customHeight="1">
      <c r="E486" s="35"/>
      <c r="F486" s="35"/>
      <c r="G486" s="35"/>
      <c r="H486" s="34"/>
    </row>
    <row r="487" ht="12.75" customHeight="1">
      <c r="E487" s="35"/>
      <c r="F487" s="35"/>
      <c r="G487" s="35"/>
      <c r="H487" s="34"/>
    </row>
    <row r="488" ht="12.75" customHeight="1">
      <c r="E488" s="35"/>
      <c r="F488" s="35"/>
      <c r="G488" s="35"/>
      <c r="H488" s="34"/>
    </row>
    <row r="489" ht="12.75" customHeight="1">
      <c r="E489" s="35"/>
      <c r="F489" s="35"/>
      <c r="G489" s="35"/>
      <c r="H489" s="34"/>
    </row>
    <row r="490" ht="12.75" customHeight="1">
      <c r="E490" s="35"/>
      <c r="F490" s="35"/>
      <c r="G490" s="35"/>
      <c r="H490" s="34"/>
    </row>
    <row r="491" ht="12.75" customHeight="1">
      <c r="E491" s="35"/>
      <c r="F491" s="35"/>
      <c r="G491" s="35"/>
      <c r="H491" s="34"/>
    </row>
    <row r="492" ht="12.75" customHeight="1">
      <c r="E492" s="35"/>
      <c r="F492" s="35"/>
      <c r="G492" s="35"/>
      <c r="H492" s="34"/>
    </row>
    <row r="493" ht="12.75" customHeight="1">
      <c r="E493" s="35"/>
      <c r="F493" s="35"/>
      <c r="G493" s="35"/>
      <c r="H493" s="34"/>
    </row>
    <row r="494" ht="12.75" customHeight="1">
      <c r="E494" s="35"/>
      <c r="F494" s="35"/>
      <c r="G494" s="35"/>
      <c r="H494" s="34"/>
    </row>
    <row r="495" ht="12.75" customHeight="1">
      <c r="E495" s="35"/>
      <c r="F495" s="35"/>
      <c r="G495" s="35"/>
      <c r="H495" s="34"/>
    </row>
    <row r="496" ht="12.75" customHeight="1">
      <c r="E496" s="35"/>
      <c r="F496" s="35"/>
      <c r="G496" s="35"/>
      <c r="H496" s="34"/>
    </row>
    <row r="497" ht="12.75" customHeight="1">
      <c r="E497" s="35"/>
      <c r="F497" s="35"/>
      <c r="G497" s="35"/>
      <c r="H497" s="34"/>
    </row>
    <row r="498" ht="12.75" customHeight="1">
      <c r="E498" s="35"/>
      <c r="F498" s="35"/>
      <c r="G498" s="35"/>
      <c r="H498" s="34"/>
    </row>
    <row r="499" ht="12.75" customHeight="1">
      <c r="E499" s="35"/>
      <c r="F499" s="35"/>
      <c r="G499" s="35"/>
      <c r="H499" s="34"/>
    </row>
    <row r="500" ht="12.75" customHeight="1">
      <c r="E500" s="35"/>
      <c r="F500" s="35"/>
      <c r="G500" s="35"/>
      <c r="H500" s="34"/>
    </row>
    <row r="501" ht="12.75" customHeight="1">
      <c r="E501" s="35"/>
      <c r="F501" s="35"/>
      <c r="G501" s="35"/>
      <c r="H501" s="34"/>
    </row>
    <row r="502" ht="12.75" customHeight="1">
      <c r="E502" s="35"/>
      <c r="F502" s="35"/>
      <c r="G502" s="35"/>
      <c r="H502" s="34"/>
    </row>
    <row r="503" ht="12.75" customHeight="1">
      <c r="E503" s="35"/>
      <c r="F503" s="35"/>
      <c r="G503" s="35"/>
      <c r="H503" s="34"/>
    </row>
    <row r="504" ht="12.75" customHeight="1">
      <c r="E504" s="35"/>
      <c r="F504" s="35"/>
      <c r="G504" s="35"/>
      <c r="H504" s="34"/>
    </row>
    <row r="505" ht="12.75" customHeight="1">
      <c r="E505" s="35"/>
      <c r="F505" s="35"/>
      <c r="G505" s="35"/>
      <c r="H505" s="34"/>
    </row>
    <row r="506" ht="12.75" customHeight="1">
      <c r="E506" s="35"/>
      <c r="F506" s="35"/>
      <c r="G506" s="35"/>
      <c r="H506" s="34"/>
    </row>
    <row r="507" ht="12.75" customHeight="1">
      <c r="E507" s="35"/>
      <c r="F507" s="35"/>
      <c r="G507" s="35"/>
      <c r="H507" s="34"/>
    </row>
    <row r="508" ht="12.75" customHeight="1">
      <c r="E508" s="35"/>
      <c r="F508" s="35"/>
      <c r="G508" s="35"/>
      <c r="H508" s="34"/>
    </row>
    <row r="509" ht="12.75" customHeight="1">
      <c r="E509" s="35"/>
      <c r="F509" s="35"/>
      <c r="G509" s="35"/>
      <c r="H509" s="34"/>
    </row>
    <row r="510" ht="12.75" customHeight="1">
      <c r="E510" s="35"/>
      <c r="F510" s="35"/>
      <c r="G510" s="35"/>
      <c r="H510" s="34"/>
    </row>
    <row r="511" ht="12.75" customHeight="1">
      <c r="E511" s="35"/>
      <c r="F511" s="35"/>
      <c r="G511" s="35"/>
      <c r="H511" s="34"/>
    </row>
    <row r="512" ht="12.75" customHeight="1">
      <c r="E512" s="35"/>
      <c r="F512" s="35"/>
      <c r="G512" s="35"/>
      <c r="H512" s="34"/>
    </row>
    <row r="513" ht="12.75" customHeight="1">
      <c r="E513" s="35"/>
      <c r="F513" s="35"/>
      <c r="G513" s="35"/>
      <c r="H513" s="34"/>
    </row>
    <row r="514" ht="12.75" customHeight="1">
      <c r="E514" s="35"/>
      <c r="F514" s="35"/>
      <c r="G514" s="35"/>
      <c r="H514" s="34"/>
    </row>
    <row r="515" ht="12.75" customHeight="1">
      <c r="E515" s="35"/>
      <c r="F515" s="35"/>
      <c r="G515" s="35"/>
      <c r="H515" s="34"/>
    </row>
    <row r="516" ht="12.75" customHeight="1">
      <c r="E516" s="35"/>
      <c r="F516" s="35"/>
      <c r="G516" s="35"/>
      <c r="H516" s="34"/>
    </row>
    <row r="517" ht="12.75" customHeight="1">
      <c r="E517" s="35"/>
      <c r="F517" s="35"/>
      <c r="G517" s="35"/>
      <c r="H517" s="34"/>
    </row>
    <row r="518" ht="12.75" customHeight="1">
      <c r="E518" s="35"/>
      <c r="F518" s="35"/>
      <c r="G518" s="35"/>
      <c r="H518" s="34"/>
    </row>
    <row r="519" ht="12.75" customHeight="1">
      <c r="E519" s="35"/>
      <c r="F519" s="35"/>
      <c r="G519" s="35"/>
      <c r="H519" s="34"/>
    </row>
    <row r="520" ht="12.75" customHeight="1">
      <c r="E520" s="35"/>
      <c r="F520" s="35"/>
      <c r="G520" s="35"/>
      <c r="H520" s="34"/>
    </row>
    <row r="521" ht="12.75" customHeight="1">
      <c r="E521" s="35"/>
      <c r="F521" s="35"/>
      <c r="G521" s="35"/>
      <c r="H521" s="34"/>
    </row>
    <row r="522" ht="12.75" customHeight="1">
      <c r="E522" s="35"/>
      <c r="F522" s="35"/>
      <c r="G522" s="35"/>
      <c r="H522" s="34"/>
    </row>
    <row r="523" ht="12.75" customHeight="1">
      <c r="E523" s="35"/>
      <c r="F523" s="35"/>
      <c r="G523" s="35"/>
      <c r="H523" s="34"/>
    </row>
    <row r="524" ht="12.75" customHeight="1">
      <c r="E524" s="35"/>
      <c r="F524" s="35"/>
      <c r="G524" s="35"/>
      <c r="H524" s="34"/>
    </row>
    <row r="525" ht="12.75" customHeight="1">
      <c r="E525" s="35"/>
      <c r="F525" s="35"/>
      <c r="G525" s="35"/>
      <c r="H525" s="34"/>
    </row>
    <row r="526" ht="12.75" customHeight="1">
      <c r="E526" s="35"/>
      <c r="F526" s="35"/>
      <c r="G526" s="35"/>
      <c r="H526" s="34"/>
    </row>
    <row r="527" ht="12.75" customHeight="1">
      <c r="E527" s="35"/>
      <c r="F527" s="35"/>
      <c r="G527" s="35"/>
      <c r="H527" s="34"/>
    </row>
    <row r="528" ht="12.75" customHeight="1">
      <c r="E528" s="35"/>
      <c r="F528" s="35"/>
      <c r="G528" s="35"/>
      <c r="H528" s="34"/>
    </row>
    <row r="529" ht="12.75" customHeight="1">
      <c r="E529" s="35"/>
      <c r="F529" s="35"/>
      <c r="G529" s="35"/>
      <c r="H529" s="34"/>
    </row>
    <row r="530" ht="12.75" customHeight="1">
      <c r="E530" s="35"/>
      <c r="F530" s="35"/>
      <c r="G530" s="35"/>
      <c r="H530" s="34"/>
    </row>
    <row r="531" ht="12.75" customHeight="1">
      <c r="E531" s="35"/>
      <c r="F531" s="35"/>
      <c r="G531" s="35"/>
      <c r="H531" s="34"/>
    </row>
    <row r="532" ht="12.75" customHeight="1">
      <c r="E532" s="35"/>
      <c r="F532" s="35"/>
      <c r="G532" s="35"/>
      <c r="H532" s="34"/>
    </row>
    <row r="533" ht="12.75" customHeight="1">
      <c r="E533" s="35"/>
      <c r="F533" s="35"/>
      <c r="G533" s="35"/>
      <c r="H533" s="34"/>
    </row>
    <row r="534" ht="12.75" customHeight="1">
      <c r="E534" s="35"/>
      <c r="F534" s="35"/>
      <c r="G534" s="35"/>
      <c r="H534" s="34"/>
    </row>
    <row r="535" ht="12.75" customHeight="1">
      <c r="E535" s="35"/>
      <c r="F535" s="35"/>
      <c r="G535" s="35"/>
      <c r="H535" s="34"/>
    </row>
    <row r="536" ht="12.75" customHeight="1">
      <c r="E536" s="35"/>
      <c r="F536" s="35"/>
      <c r="G536" s="35"/>
      <c r="H536" s="34"/>
    </row>
    <row r="537" ht="12.75" customHeight="1">
      <c r="E537" s="35"/>
      <c r="F537" s="35"/>
      <c r="G537" s="35"/>
      <c r="H537" s="34"/>
    </row>
    <row r="538" ht="12.75" customHeight="1">
      <c r="E538" s="35"/>
      <c r="F538" s="35"/>
      <c r="G538" s="35"/>
      <c r="H538" s="34"/>
    </row>
    <row r="539" ht="12.75" customHeight="1">
      <c r="E539" s="35"/>
      <c r="F539" s="35"/>
      <c r="G539" s="35"/>
      <c r="H539" s="34"/>
    </row>
    <row r="540" ht="12.75" customHeight="1">
      <c r="E540" s="35"/>
      <c r="F540" s="35"/>
      <c r="G540" s="35"/>
      <c r="H540" s="34"/>
    </row>
    <row r="541" ht="12.75" customHeight="1">
      <c r="E541" s="35"/>
      <c r="F541" s="35"/>
      <c r="G541" s="35"/>
      <c r="H541" s="34"/>
    </row>
    <row r="542" ht="12.75" customHeight="1">
      <c r="E542" s="35"/>
      <c r="F542" s="35"/>
      <c r="G542" s="35"/>
      <c r="H542" s="34"/>
    </row>
    <row r="543" ht="12.75" customHeight="1">
      <c r="E543" s="35"/>
      <c r="F543" s="35"/>
      <c r="G543" s="35"/>
      <c r="H543" s="34"/>
    </row>
    <row r="544" ht="12.75" customHeight="1">
      <c r="E544" s="35"/>
      <c r="F544" s="35"/>
      <c r="G544" s="35"/>
      <c r="H544" s="34"/>
    </row>
    <row r="545" ht="12.75" customHeight="1">
      <c r="E545" s="35"/>
      <c r="F545" s="35"/>
      <c r="G545" s="35"/>
      <c r="H545" s="34"/>
    </row>
    <row r="546" ht="12.75" customHeight="1">
      <c r="E546" s="35"/>
      <c r="F546" s="35"/>
      <c r="G546" s="35"/>
      <c r="H546" s="34"/>
    </row>
    <row r="547" ht="12.75" customHeight="1">
      <c r="E547" s="35"/>
      <c r="F547" s="35"/>
      <c r="G547" s="35"/>
      <c r="H547" s="34"/>
    </row>
    <row r="548" ht="12.75" customHeight="1">
      <c r="E548" s="35"/>
      <c r="F548" s="35"/>
      <c r="G548" s="35"/>
      <c r="H548" s="34"/>
    </row>
    <row r="549" ht="12.75" customHeight="1">
      <c r="E549" s="35"/>
      <c r="F549" s="35"/>
      <c r="G549" s="35"/>
      <c r="H549" s="34"/>
    </row>
    <row r="550" ht="12.75" customHeight="1">
      <c r="E550" s="35"/>
      <c r="F550" s="35"/>
      <c r="G550" s="35"/>
      <c r="H550" s="34"/>
    </row>
    <row r="551" ht="12.75" customHeight="1">
      <c r="E551" s="35"/>
      <c r="F551" s="35"/>
      <c r="G551" s="35"/>
      <c r="H551" s="34"/>
    </row>
    <row r="552" ht="12.75" customHeight="1">
      <c r="E552" s="35"/>
      <c r="F552" s="35"/>
      <c r="G552" s="35"/>
      <c r="H552" s="34"/>
    </row>
    <row r="553" ht="12.75" customHeight="1">
      <c r="E553" s="35"/>
      <c r="F553" s="35"/>
      <c r="G553" s="35"/>
      <c r="H553" s="34"/>
    </row>
    <row r="554" ht="12.75" customHeight="1">
      <c r="E554" s="35"/>
      <c r="F554" s="35"/>
      <c r="G554" s="35"/>
      <c r="H554" s="34"/>
    </row>
    <row r="555" ht="12.75" customHeight="1">
      <c r="E555" s="35"/>
      <c r="F555" s="35"/>
      <c r="G555" s="35"/>
      <c r="H555" s="34"/>
    </row>
    <row r="556" ht="12.75" customHeight="1">
      <c r="E556" s="35"/>
      <c r="F556" s="35"/>
      <c r="G556" s="35"/>
      <c r="H556" s="34"/>
    </row>
    <row r="557" ht="12.75" customHeight="1">
      <c r="E557" s="35"/>
      <c r="F557" s="35"/>
      <c r="G557" s="35"/>
      <c r="H557" s="34"/>
    </row>
    <row r="558" ht="12.75" customHeight="1">
      <c r="E558" s="35"/>
      <c r="F558" s="35"/>
      <c r="G558" s="35"/>
      <c r="H558" s="34"/>
    </row>
    <row r="559" ht="12.75" customHeight="1">
      <c r="E559" s="35"/>
      <c r="F559" s="35"/>
      <c r="G559" s="35"/>
      <c r="H559" s="34"/>
    </row>
    <row r="560" ht="12.75" customHeight="1">
      <c r="E560" s="35"/>
      <c r="F560" s="35"/>
      <c r="G560" s="35"/>
      <c r="H560" s="34"/>
    </row>
    <row r="561" ht="12.75" customHeight="1">
      <c r="E561" s="35"/>
      <c r="F561" s="35"/>
      <c r="G561" s="35"/>
      <c r="H561" s="34"/>
    </row>
    <row r="562" ht="12.75" customHeight="1">
      <c r="E562" s="35"/>
      <c r="F562" s="35"/>
      <c r="G562" s="35"/>
      <c r="H562" s="34"/>
    </row>
    <row r="563" ht="12.75" customHeight="1">
      <c r="E563" s="35"/>
      <c r="F563" s="35"/>
      <c r="G563" s="35"/>
      <c r="H563" s="34"/>
    </row>
    <row r="564" ht="12.75" customHeight="1">
      <c r="E564" s="35"/>
      <c r="F564" s="35"/>
      <c r="G564" s="35"/>
      <c r="H564" s="34"/>
    </row>
    <row r="565" ht="12.75" customHeight="1">
      <c r="E565" s="35"/>
      <c r="F565" s="35"/>
      <c r="G565" s="35"/>
      <c r="H565" s="34"/>
    </row>
    <row r="566" ht="12.75" customHeight="1">
      <c r="E566" s="35"/>
      <c r="F566" s="35"/>
      <c r="G566" s="35"/>
      <c r="H566" s="34"/>
    </row>
    <row r="567" ht="12.75" customHeight="1">
      <c r="E567" s="35"/>
      <c r="F567" s="35"/>
      <c r="G567" s="35"/>
      <c r="H567" s="34"/>
    </row>
    <row r="568" ht="12.75" customHeight="1">
      <c r="E568" s="35"/>
      <c r="F568" s="35"/>
      <c r="G568" s="35"/>
      <c r="H568" s="34"/>
    </row>
    <row r="569" ht="12.75" customHeight="1">
      <c r="E569" s="35"/>
      <c r="F569" s="35"/>
      <c r="G569" s="35"/>
      <c r="H569" s="34"/>
    </row>
    <row r="570" ht="12.75" customHeight="1">
      <c r="E570" s="35"/>
      <c r="F570" s="35"/>
      <c r="G570" s="35"/>
      <c r="H570" s="34"/>
    </row>
    <row r="571" ht="12.75" customHeight="1">
      <c r="E571" s="35"/>
      <c r="F571" s="35"/>
      <c r="G571" s="35"/>
      <c r="H571" s="34"/>
    </row>
    <row r="572" ht="12.75" customHeight="1">
      <c r="E572" s="35"/>
      <c r="F572" s="35"/>
      <c r="G572" s="35"/>
      <c r="H572" s="34"/>
    </row>
    <row r="573" ht="12.75" customHeight="1">
      <c r="E573" s="35"/>
      <c r="F573" s="35"/>
      <c r="G573" s="35"/>
      <c r="H573" s="34"/>
    </row>
    <row r="574" ht="12.75" customHeight="1">
      <c r="E574" s="35"/>
      <c r="F574" s="35"/>
      <c r="G574" s="35"/>
      <c r="H574" s="34"/>
    </row>
    <row r="575" ht="12.75" customHeight="1">
      <c r="E575" s="35"/>
      <c r="F575" s="35"/>
      <c r="G575" s="35"/>
      <c r="H575" s="34"/>
    </row>
    <row r="576" ht="12.75" customHeight="1">
      <c r="E576" s="35"/>
      <c r="F576" s="35"/>
      <c r="G576" s="35"/>
      <c r="H576" s="34"/>
    </row>
    <row r="577" ht="12.75" customHeight="1">
      <c r="E577" s="35"/>
      <c r="F577" s="35"/>
      <c r="G577" s="35"/>
      <c r="H577" s="34"/>
    </row>
    <row r="578" ht="12.75" customHeight="1">
      <c r="E578" s="35"/>
      <c r="F578" s="35"/>
      <c r="G578" s="35"/>
      <c r="H578" s="34"/>
    </row>
    <row r="579" ht="12.75" customHeight="1">
      <c r="E579" s="35"/>
      <c r="F579" s="35"/>
      <c r="G579" s="35"/>
      <c r="H579" s="34"/>
    </row>
    <row r="580" ht="12.75" customHeight="1">
      <c r="E580" s="35"/>
      <c r="F580" s="35"/>
      <c r="G580" s="35"/>
      <c r="H580" s="34"/>
    </row>
    <row r="581" ht="12.75" customHeight="1">
      <c r="E581" s="35"/>
      <c r="F581" s="35"/>
      <c r="G581" s="35"/>
      <c r="H581" s="34"/>
    </row>
    <row r="582" ht="12.75" customHeight="1">
      <c r="E582" s="35"/>
      <c r="F582" s="35"/>
      <c r="G582" s="35"/>
      <c r="H582" s="34"/>
    </row>
    <row r="583" ht="12.75" customHeight="1">
      <c r="E583" s="35"/>
      <c r="F583" s="35"/>
      <c r="G583" s="35"/>
      <c r="H583" s="34"/>
    </row>
    <row r="584" ht="12.75" customHeight="1">
      <c r="E584" s="35"/>
      <c r="F584" s="35"/>
      <c r="G584" s="35"/>
      <c r="H584" s="34"/>
    </row>
    <row r="585" ht="12.75" customHeight="1">
      <c r="E585" s="35"/>
      <c r="F585" s="35"/>
      <c r="G585" s="35"/>
      <c r="H585" s="34"/>
    </row>
    <row r="586" ht="12.75" customHeight="1">
      <c r="E586" s="35"/>
      <c r="F586" s="35"/>
      <c r="G586" s="35"/>
      <c r="H586" s="34"/>
    </row>
    <row r="587" ht="12.75" customHeight="1">
      <c r="E587" s="35"/>
      <c r="F587" s="35"/>
      <c r="G587" s="35"/>
      <c r="H587" s="34"/>
    </row>
    <row r="588" ht="12.75" customHeight="1">
      <c r="E588" s="35"/>
      <c r="F588" s="35"/>
      <c r="G588" s="35"/>
      <c r="H588" s="34"/>
    </row>
    <row r="589" ht="12.75" customHeight="1">
      <c r="E589" s="35"/>
      <c r="F589" s="35"/>
      <c r="G589" s="35"/>
      <c r="H589" s="34"/>
    </row>
    <row r="590" ht="12.75" customHeight="1">
      <c r="E590" s="35"/>
      <c r="F590" s="35"/>
      <c r="G590" s="35"/>
      <c r="H590" s="34"/>
    </row>
    <row r="591" ht="12.75" customHeight="1">
      <c r="E591" s="35"/>
      <c r="F591" s="35"/>
      <c r="G591" s="35"/>
      <c r="H591" s="34"/>
    </row>
    <row r="592" ht="12.75" customHeight="1">
      <c r="E592" s="35"/>
      <c r="F592" s="35"/>
      <c r="G592" s="35"/>
      <c r="H592" s="34"/>
    </row>
    <row r="593" ht="12.75" customHeight="1">
      <c r="E593" s="35"/>
      <c r="F593" s="35"/>
      <c r="G593" s="35"/>
      <c r="H593" s="34"/>
    </row>
    <row r="594" ht="12.75" customHeight="1">
      <c r="E594" s="35"/>
      <c r="F594" s="35"/>
      <c r="G594" s="35"/>
      <c r="H594" s="34"/>
    </row>
    <row r="595" ht="12.75" customHeight="1">
      <c r="E595" s="35"/>
      <c r="F595" s="35"/>
      <c r="G595" s="35"/>
      <c r="H595" s="34"/>
    </row>
    <row r="596" ht="12.75" customHeight="1">
      <c r="E596" s="35"/>
      <c r="F596" s="35"/>
      <c r="G596" s="35"/>
      <c r="H596" s="34"/>
    </row>
    <row r="597" ht="12.75" customHeight="1">
      <c r="E597" s="35"/>
      <c r="F597" s="35"/>
      <c r="G597" s="35"/>
      <c r="H597" s="34"/>
    </row>
    <row r="598" ht="12.75" customHeight="1">
      <c r="E598" s="35"/>
      <c r="F598" s="35"/>
      <c r="G598" s="35"/>
      <c r="H598" s="34"/>
    </row>
    <row r="599" ht="12.75" customHeight="1">
      <c r="E599" s="35"/>
      <c r="F599" s="35"/>
      <c r="G599" s="35"/>
      <c r="H599" s="34"/>
    </row>
    <row r="600" ht="12.75" customHeight="1">
      <c r="E600" s="35"/>
      <c r="F600" s="35"/>
      <c r="G600" s="35"/>
      <c r="H600" s="34"/>
    </row>
    <row r="601" ht="12.75" customHeight="1">
      <c r="E601" s="35"/>
      <c r="F601" s="35"/>
      <c r="G601" s="35"/>
      <c r="H601" s="34"/>
    </row>
    <row r="602" ht="12.75" customHeight="1">
      <c r="E602" s="35"/>
      <c r="F602" s="35"/>
      <c r="G602" s="35"/>
      <c r="H602" s="34"/>
    </row>
    <row r="603" ht="12.75" customHeight="1">
      <c r="E603" s="35"/>
      <c r="F603" s="35"/>
      <c r="G603" s="35"/>
      <c r="H603" s="34"/>
    </row>
    <row r="604" ht="12.75" customHeight="1">
      <c r="E604" s="35"/>
      <c r="F604" s="35"/>
      <c r="G604" s="35"/>
      <c r="H604" s="34"/>
    </row>
    <row r="605" ht="12.75" customHeight="1">
      <c r="E605" s="35"/>
      <c r="F605" s="35"/>
      <c r="G605" s="35"/>
      <c r="H605" s="34"/>
    </row>
    <row r="606" ht="12.75" customHeight="1">
      <c r="E606" s="35"/>
      <c r="F606" s="35"/>
      <c r="G606" s="35"/>
      <c r="H606" s="34"/>
    </row>
    <row r="607" ht="12.75" customHeight="1">
      <c r="E607" s="35"/>
      <c r="F607" s="35"/>
      <c r="G607" s="35"/>
      <c r="H607" s="34"/>
    </row>
    <row r="608" ht="12.75" customHeight="1">
      <c r="E608" s="35"/>
      <c r="F608" s="35"/>
      <c r="G608" s="35"/>
      <c r="H608" s="34"/>
    </row>
    <row r="609" ht="12.75" customHeight="1">
      <c r="E609" s="35"/>
      <c r="F609" s="35"/>
      <c r="G609" s="35"/>
      <c r="H609" s="34"/>
    </row>
    <row r="610" ht="12.75" customHeight="1">
      <c r="E610" s="35"/>
      <c r="F610" s="35"/>
      <c r="G610" s="35"/>
      <c r="H610" s="34"/>
    </row>
    <row r="611" ht="12.75" customHeight="1">
      <c r="E611" s="35"/>
      <c r="F611" s="35"/>
      <c r="G611" s="35"/>
      <c r="H611" s="34"/>
    </row>
    <row r="612" ht="12.75" customHeight="1">
      <c r="E612" s="35"/>
      <c r="F612" s="35"/>
      <c r="G612" s="35"/>
      <c r="H612" s="34"/>
    </row>
    <row r="613" ht="12.75" customHeight="1">
      <c r="E613" s="35"/>
      <c r="F613" s="35"/>
      <c r="G613" s="35"/>
      <c r="H613" s="34"/>
    </row>
    <row r="614" ht="12.75" customHeight="1">
      <c r="E614" s="35"/>
      <c r="F614" s="35"/>
      <c r="G614" s="35"/>
      <c r="H614" s="34"/>
    </row>
    <row r="615" ht="12.75" customHeight="1">
      <c r="E615" s="35"/>
      <c r="F615" s="35"/>
      <c r="G615" s="35"/>
      <c r="H615" s="34"/>
    </row>
    <row r="616" ht="12.75" customHeight="1">
      <c r="E616" s="35"/>
      <c r="F616" s="35"/>
      <c r="G616" s="35"/>
      <c r="H616" s="34"/>
    </row>
    <row r="617" ht="12.75" customHeight="1">
      <c r="E617" s="35"/>
      <c r="F617" s="35"/>
      <c r="G617" s="35"/>
      <c r="H617" s="34"/>
    </row>
    <row r="618" ht="12.75" customHeight="1">
      <c r="E618" s="35"/>
      <c r="F618" s="35"/>
      <c r="G618" s="35"/>
      <c r="H618" s="34"/>
    </row>
    <row r="619" ht="12.75" customHeight="1">
      <c r="E619" s="35"/>
      <c r="F619" s="35"/>
      <c r="G619" s="35"/>
      <c r="H619" s="34"/>
    </row>
    <row r="620" ht="12.75" customHeight="1">
      <c r="E620" s="35"/>
      <c r="F620" s="35"/>
      <c r="G620" s="35"/>
      <c r="H620" s="34"/>
    </row>
    <row r="621" ht="12.75" customHeight="1">
      <c r="E621" s="35"/>
      <c r="F621" s="35"/>
      <c r="G621" s="35"/>
      <c r="H621" s="34"/>
    </row>
    <row r="622" ht="12.75" customHeight="1">
      <c r="E622" s="35"/>
      <c r="F622" s="35"/>
      <c r="G622" s="35"/>
      <c r="H622" s="34"/>
    </row>
    <row r="623" ht="12.75" customHeight="1">
      <c r="E623" s="35"/>
      <c r="F623" s="35"/>
      <c r="G623" s="35"/>
      <c r="H623" s="34"/>
    </row>
    <row r="624" ht="12.75" customHeight="1">
      <c r="E624" s="35"/>
      <c r="F624" s="35"/>
      <c r="G624" s="35"/>
      <c r="H624" s="34"/>
    </row>
    <row r="625" ht="12.75" customHeight="1">
      <c r="E625" s="35"/>
      <c r="F625" s="35"/>
      <c r="G625" s="35"/>
      <c r="H625" s="34"/>
    </row>
    <row r="626" ht="12.75" customHeight="1">
      <c r="E626" s="35"/>
      <c r="F626" s="35"/>
      <c r="G626" s="35"/>
      <c r="H626" s="34"/>
    </row>
    <row r="627" ht="12.75" customHeight="1">
      <c r="E627" s="35"/>
      <c r="F627" s="35"/>
      <c r="G627" s="35"/>
      <c r="H627" s="34"/>
    </row>
    <row r="628" ht="12.75" customHeight="1">
      <c r="E628" s="35"/>
      <c r="F628" s="35"/>
      <c r="G628" s="35"/>
      <c r="H628" s="34"/>
    </row>
    <row r="629" ht="12.75" customHeight="1">
      <c r="E629" s="35"/>
      <c r="F629" s="35"/>
      <c r="G629" s="35"/>
      <c r="H629" s="34"/>
    </row>
    <row r="630" ht="12.75" customHeight="1">
      <c r="E630" s="35"/>
      <c r="F630" s="35"/>
      <c r="G630" s="35"/>
      <c r="H630" s="34"/>
    </row>
    <row r="631" ht="12.75" customHeight="1">
      <c r="E631" s="35"/>
      <c r="F631" s="35"/>
      <c r="G631" s="35"/>
      <c r="H631" s="34"/>
    </row>
    <row r="632" ht="12.75" customHeight="1">
      <c r="E632" s="35"/>
      <c r="F632" s="35"/>
      <c r="G632" s="35"/>
      <c r="H632" s="34"/>
    </row>
    <row r="633" ht="12.75" customHeight="1">
      <c r="E633" s="35"/>
      <c r="F633" s="35"/>
      <c r="G633" s="35"/>
      <c r="H633" s="34"/>
    </row>
    <row r="634" ht="12.75" customHeight="1">
      <c r="E634" s="35"/>
      <c r="F634" s="35"/>
      <c r="G634" s="35"/>
      <c r="H634" s="34"/>
    </row>
    <row r="635" ht="12.75" customHeight="1">
      <c r="E635" s="35"/>
      <c r="F635" s="35"/>
      <c r="G635" s="35"/>
      <c r="H635" s="34"/>
    </row>
    <row r="636" ht="12.75" customHeight="1">
      <c r="E636" s="35"/>
      <c r="F636" s="35"/>
      <c r="G636" s="35"/>
      <c r="H636" s="34"/>
    </row>
    <row r="637" ht="12.75" customHeight="1">
      <c r="E637" s="35"/>
      <c r="F637" s="35"/>
      <c r="G637" s="35"/>
      <c r="H637" s="34"/>
    </row>
    <row r="638" ht="12.75" customHeight="1">
      <c r="E638" s="35"/>
      <c r="F638" s="35"/>
      <c r="G638" s="35"/>
      <c r="H638" s="34"/>
    </row>
    <row r="639" ht="12.75" customHeight="1">
      <c r="E639" s="35"/>
      <c r="F639" s="35"/>
      <c r="G639" s="35"/>
      <c r="H639" s="34"/>
    </row>
    <row r="640" ht="12.75" customHeight="1">
      <c r="E640" s="35"/>
      <c r="F640" s="35"/>
      <c r="G640" s="35"/>
      <c r="H640" s="34"/>
    </row>
    <row r="641" ht="12.75" customHeight="1">
      <c r="E641" s="35"/>
      <c r="F641" s="35"/>
      <c r="G641" s="35"/>
      <c r="H641" s="34"/>
    </row>
    <row r="642" ht="12.75" customHeight="1">
      <c r="E642" s="35"/>
      <c r="F642" s="35"/>
      <c r="G642" s="35"/>
      <c r="H642" s="34"/>
    </row>
    <row r="643" ht="12.75" customHeight="1">
      <c r="E643" s="35"/>
      <c r="F643" s="35"/>
      <c r="G643" s="35"/>
      <c r="H643" s="34"/>
    </row>
    <row r="644" ht="12.75" customHeight="1">
      <c r="E644" s="35"/>
      <c r="F644" s="35"/>
      <c r="G644" s="35"/>
      <c r="H644" s="34"/>
    </row>
    <row r="645" ht="12.75" customHeight="1">
      <c r="E645" s="35"/>
      <c r="F645" s="35"/>
      <c r="G645" s="35"/>
      <c r="H645" s="34"/>
    </row>
    <row r="646" ht="12.75" customHeight="1">
      <c r="E646" s="35"/>
      <c r="F646" s="35"/>
      <c r="G646" s="35"/>
      <c r="H646" s="34"/>
    </row>
    <row r="647" ht="12.75" customHeight="1">
      <c r="E647" s="35"/>
      <c r="F647" s="35"/>
      <c r="G647" s="35"/>
      <c r="H647" s="34"/>
    </row>
    <row r="648" ht="12.75" customHeight="1">
      <c r="E648" s="35"/>
      <c r="F648" s="35"/>
      <c r="G648" s="35"/>
      <c r="H648" s="34"/>
    </row>
    <row r="649" ht="12.75" customHeight="1">
      <c r="E649" s="35"/>
      <c r="F649" s="35"/>
      <c r="G649" s="35"/>
      <c r="H649" s="34"/>
    </row>
    <row r="650" ht="12.75" customHeight="1">
      <c r="E650" s="35"/>
      <c r="F650" s="35"/>
      <c r="G650" s="35"/>
      <c r="H650" s="34"/>
    </row>
    <row r="651" ht="12.75" customHeight="1">
      <c r="E651" s="35"/>
      <c r="F651" s="35"/>
      <c r="G651" s="35"/>
      <c r="H651" s="34"/>
    </row>
    <row r="652" ht="12.75" customHeight="1">
      <c r="E652" s="35"/>
      <c r="F652" s="35"/>
      <c r="G652" s="35"/>
      <c r="H652" s="34"/>
    </row>
    <row r="653" ht="12.75" customHeight="1">
      <c r="E653" s="35"/>
      <c r="F653" s="35"/>
      <c r="G653" s="35"/>
      <c r="H653" s="34"/>
    </row>
    <row r="654" ht="12.75" customHeight="1">
      <c r="E654" s="35"/>
      <c r="F654" s="35"/>
      <c r="G654" s="35"/>
      <c r="H654" s="34"/>
    </row>
    <row r="655" ht="12.75" customHeight="1">
      <c r="E655" s="35"/>
      <c r="F655" s="35"/>
      <c r="G655" s="35"/>
      <c r="H655" s="34"/>
    </row>
    <row r="656" ht="12.75" customHeight="1">
      <c r="E656" s="35"/>
      <c r="F656" s="35"/>
      <c r="G656" s="35"/>
      <c r="H656" s="34"/>
    </row>
    <row r="657" ht="12.75" customHeight="1">
      <c r="E657" s="35"/>
      <c r="F657" s="35"/>
      <c r="G657" s="35"/>
      <c r="H657" s="34"/>
    </row>
    <row r="658" ht="12.75" customHeight="1">
      <c r="E658" s="35"/>
      <c r="F658" s="35"/>
      <c r="G658" s="35"/>
      <c r="H658" s="34"/>
    </row>
    <row r="659" ht="12.75" customHeight="1">
      <c r="E659" s="35"/>
      <c r="F659" s="35"/>
      <c r="G659" s="35"/>
      <c r="H659" s="34"/>
    </row>
    <row r="660" ht="12.75" customHeight="1">
      <c r="E660" s="35"/>
      <c r="F660" s="35"/>
      <c r="G660" s="35"/>
      <c r="H660" s="34"/>
    </row>
    <row r="661" ht="12.75" customHeight="1">
      <c r="E661" s="35"/>
      <c r="F661" s="35"/>
      <c r="G661" s="35"/>
      <c r="H661" s="34"/>
    </row>
    <row r="662" ht="12.75" customHeight="1">
      <c r="E662" s="35"/>
      <c r="F662" s="35"/>
      <c r="G662" s="35"/>
      <c r="H662" s="34"/>
    </row>
    <row r="663" ht="12.75" customHeight="1">
      <c r="E663" s="35"/>
      <c r="F663" s="35"/>
      <c r="G663" s="35"/>
      <c r="H663" s="34"/>
    </row>
    <row r="664" ht="12.75" customHeight="1">
      <c r="E664" s="35"/>
      <c r="F664" s="35"/>
      <c r="G664" s="35"/>
      <c r="H664" s="34"/>
    </row>
    <row r="665" ht="12.75" customHeight="1">
      <c r="E665" s="35"/>
      <c r="F665" s="35"/>
      <c r="G665" s="35"/>
      <c r="H665" s="34"/>
    </row>
    <row r="666" ht="12.75" customHeight="1">
      <c r="E666" s="35"/>
      <c r="F666" s="35"/>
      <c r="G666" s="35"/>
      <c r="H666" s="34"/>
    </row>
    <row r="667" ht="12.75" customHeight="1">
      <c r="E667" s="35"/>
      <c r="F667" s="35"/>
      <c r="G667" s="35"/>
      <c r="H667" s="34"/>
    </row>
    <row r="668" ht="12.75" customHeight="1">
      <c r="E668" s="35"/>
      <c r="F668" s="35"/>
      <c r="G668" s="35"/>
      <c r="H668" s="34"/>
    </row>
    <row r="669" ht="12.75" customHeight="1">
      <c r="E669" s="35"/>
      <c r="F669" s="35"/>
      <c r="G669" s="35"/>
      <c r="H669" s="34"/>
    </row>
    <row r="670" ht="12.75" customHeight="1">
      <c r="E670" s="35"/>
      <c r="F670" s="35"/>
      <c r="G670" s="35"/>
      <c r="H670" s="34"/>
    </row>
    <row r="671" ht="12.75" customHeight="1">
      <c r="E671" s="35"/>
      <c r="F671" s="35"/>
      <c r="G671" s="35"/>
      <c r="H671" s="34"/>
    </row>
    <row r="672" ht="12.75" customHeight="1">
      <c r="E672" s="35"/>
      <c r="F672" s="35"/>
      <c r="G672" s="35"/>
      <c r="H672" s="34"/>
    </row>
    <row r="673" ht="12.75" customHeight="1">
      <c r="E673" s="35"/>
      <c r="F673" s="35"/>
      <c r="G673" s="35"/>
      <c r="H673" s="34"/>
    </row>
    <row r="674" ht="12.75" customHeight="1">
      <c r="E674" s="35"/>
      <c r="F674" s="35"/>
      <c r="G674" s="35"/>
      <c r="H674" s="34"/>
    </row>
    <row r="675" ht="12.75" customHeight="1">
      <c r="E675" s="35"/>
      <c r="F675" s="35"/>
      <c r="G675" s="35"/>
      <c r="H675" s="34"/>
    </row>
    <row r="676" ht="12.75" customHeight="1">
      <c r="E676" s="35"/>
      <c r="F676" s="35"/>
      <c r="G676" s="35"/>
      <c r="H676" s="34"/>
    </row>
    <row r="677" ht="12.75" customHeight="1">
      <c r="E677" s="35"/>
      <c r="F677" s="35"/>
      <c r="G677" s="35"/>
      <c r="H677" s="34"/>
    </row>
    <row r="678" ht="12.75" customHeight="1">
      <c r="E678" s="35"/>
      <c r="F678" s="35"/>
      <c r="G678" s="35"/>
      <c r="H678" s="34"/>
    </row>
    <row r="679" ht="12.75" customHeight="1">
      <c r="E679" s="35"/>
      <c r="F679" s="35"/>
      <c r="G679" s="35"/>
      <c r="H679" s="34"/>
    </row>
    <row r="680" ht="12.75" customHeight="1">
      <c r="E680" s="35"/>
      <c r="F680" s="35"/>
      <c r="G680" s="35"/>
      <c r="H680" s="34"/>
    </row>
    <row r="681" ht="12.75" customHeight="1">
      <c r="E681" s="35"/>
      <c r="F681" s="35"/>
      <c r="G681" s="35"/>
      <c r="H681" s="34"/>
    </row>
    <row r="682" ht="12.75" customHeight="1">
      <c r="E682" s="35"/>
      <c r="F682" s="35"/>
      <c r="G682" s="35"/>
      <c r="H682" s="34"/>
    </row>
    <row r="683" ht="12.75" customHeight="1">
      <c r="E683" s="35"/>
      <c r="F683" s="35"/>
      <c r="G683" s="35"/>
      <c r="H683" s="34"/>
    </row>
    <row r="684" ht="12.75" customHeight="1">
      <c r="E684" s="35"/>
      <c r="F684" s="35"/>
      <c r="G684" s="35"/>
      <c r="H684" s="34"/>
    </row>
    <row r="685" ht="12.75" customHeight="1">
      <c r="E685" s="35"/>
      <c r="F685" s="35"/>
      <c r="G685" s="35"/>
      <c r="H685" s="34"/>
    </row>
    <row r="686" ht="12.75" customHeight="1">
      <c r="E686" s="35"/>
      <c r="F686" s="35"/>
      <c r="G686" s="35"/>
      <c r="H686" s="34"/>
    </row>
    <row r="687" ht="12.75" customHeight="1">
      <c r="E687" s="35"/>
      <c r="F687" s="35"/>
      <c r="G687" s="35"/>
      <c r="H687" s="34"/>
    </row>
    <row r="688" ht="12.75" customHeight="1">
      <c r="E688" s="35"/>
      <c r="F688" s="35"/>
      <c r="G688" s="35"/>
      <c r="H688" s="34"/>
    </row>
    <row r="689" ht="12.75" customHeight="1">
      <c r="E689" s="35"/>
      <c r="F689" s="35"/>
      <c r="G689" s="35"/>
      <c r="H689" s="34"/>
    </row>
    <row r="690" ht="12.75" customHeight="1">
      <c r="E690" s="35"/>
      <c r="F690" s="35"/>
      <c r="G690" s="35"/>
      <c r="H690" s="34"/>
    </row>
    <row r="691" ht="12.75" customHeight="1">
      <c r="E691" s="35"/>
      <c r="F691" s="35"/>
      <c r="G691" s="35"/>
      <c r="H691" s="34"/>
    </row>
    <row r="692" ht="12.75" customHeight="1">
      <c r="E692" s="35"/>
      <c r="F692" s="35"/>
      <c r="G692" s="35"/>
      <c r="H692" s="34"/>
    </row>
    <row r="693" ht="12.75" customHeight="1">
      <c r="E693" s="35"/>
      <c r="F693" s="35"/>
      <c r="G693" s="35"/>
      <c r="H693" s="34"/>
    </row>
    <row r="694" ht="12.75" customHeight="1">
      <c r="E694" s="35"/>
      <c r="F694" s="35"/>
      <c r="G694" s="35"/>
      <c r="H694" s="34"/>
    </row>
    <row r="695" ht="12.75" customHeight="1">
      <c r="E695" s="35"/>
      <c r="F695" s="35"/>
      <c r="G695" s="35"/>
      <c r="H695" s="34"/>
    </row>
    <row r="696" ht="12.75" customHeight="1">
      <c r="E696" s="35"/>
      <c r="F696" s="35"/>
      <c r="G696" s="35"/>
      <c r="H696" s="34"/>
    </row>
    <row r="697" ht="12.75" customHeight="1">
      <c r="E697" s="35"/>
      <c r="F697" s="35"/>
      <c r="G697" s="35"/>
      <c r="H697" s="34"/>
    </row>
    <row r="698" ht="12.75" customHeight="1">
      <c r="E698" s="35"/>
      <c r="F698" s="35"/>
      <c r="G698" s="35"/>
      <c r="H698" s="34"/>
    </row>
    <row r="699" ht="12.75" customHeight="1">
      <c r="E699" s="35"/>
      <c r="F699" s="35"/>
      <c r="G699" s="35"/>
      <c r="H699" s="34"/>
    </row>
    <row r="700" ht="12.75" customHeight="1">
      <c r="E700" s="35"/>
      <c r="F700" s="35"/>
      <c r="G700" s="35"/>
      <c r="H700" s="34"/>
    </row>
    <row r="701" ht="12.75" customHeight="1">
      <c r="E701" s="35"/>
      <c r="F701" s="35"/>
      <c r="G701" s="35"/>
      <c r="H701" s="34"/>
    </row>
    <row r="702" ht="12.75" customHeight="1">
      <c r="E702" s="35"/>
      <c r="F702" s="35"/>
      <c r="G702" s="35"/>
      <c r="H702" s="34"/>
    </row>
    <row r="703" ht="12.75" customHeight="1">
      <c r="E703" s="35"/>
      <c r="F703" s="35"/>
      <c r="G703" s="35"/>
      <c r="H703" s="34"/>
    </row>
    <row r="704" ht="12.75" customHeight="1">
      <c r="E704" s="35"/>
      <c r="F704" s="35"/>
      <c r="G704" s="35"/>
      <c r="H704" s="34"/>
    </row>
    <row r="705" ht="12.75" customHeight="1">
      <c r="E705" s="35"/>
      <c r="F705" s="35"/>
      <c r="G705" s="35"/>
      <c r="H705" s="34"/>
    </row>
    <row r="706" ht="12.75" customHeight="1">
      <c r="E706" s="35"/>
      <c r="F706" s="35"/>
      <c r="G706" s="35"/>
      <c r="H706" s="34"/>
    </row>
    <row r="707" ht="12.75" customHeight="1">
      <c r="E707" s="35"/>
      <c r="F707" s="35"/>
      <c r="G707" s="35"/>
      <c r="H707" s="34"/>
    </row>
    <row r="708" ht="12.75" customHeight="1">
      <c r="E708" s="35"/>
      <c r="F708" s="35"/>
      <c r="G708" s="35"/>
      <c r="H708" s="34"/>
    </row>
    <row r="709" ht="12.75" customHeight="1">
      <c r="E709" s="35"/>
      <c r="F709" s="35"/>
      <c r="G709" s="35"/>
      <c r="H709" s="34"/>
    </row>
    <row r="710" ht="12.75" customHeight="1">
      <c r="E710" s="35"/>
      <c r="F710" s="35"/>
      <c r="G710" s="35"/>
      <c r="H710" s="34"/>
    </row>
    <row r="711" ht="12.75" customHeight="1">
      <c r="E711" s="35"/>
      <c r="F711" s="35"/>
      <c r="G711" s="35"/>
      <c r="H711" s="34"/>
    </row>
    <row r="712" ht="12.75" customHeight="1">
      <c r="E712" s="35"/>
      <c r="F712" s="35"/>
      <c r="G712" s="35"/>
      <c r="H712" s="34"/>
    </row>
    <row r="713" ht="12.75" customHeight="1">
      <c r="E713" s="35"/>
      <c r="F713" s="35"/>
      <c r="G713" s="35"/>
      <c r="H713" s="34"/>
    </row>
    <row r="714" ht="12.75" customHeight="1">
      <c r="E714" s="35"/>
      <c r="F714" s="35"/>
      <c r="G714" s="35"/>
      <c r="H714" s="34"/>
    </row>
    <row r="715" ht="12.75" customHeight="1">
      <c r="E715" s="35"/>
      <c r="F715" s="35"/>
      <c r="G715" s="35"/>
      <c r="H715" s="34"/>
    </row>
    <row r="716" ht="12.75" customHeight="1">
      <c r="E716" s="35"/>
      <c r="F716" s="35"/>
      <c r="G716" s="35"/>
      <c r="H716" s="34"/>
    </row>
    <row r="717" ht="12.75" customHeight="1">
      <c r="E717" s="35"/>
      <c r="F717" s="35"/>
      <c r="G717" s="35"/>
      <c r="H717" s="34"/>
    </row>
    <row r="718" ht="12.75" customHeight="1">
      <c r="E718" s="35"/>
      <c r="F718" s="35"/>
      <c r="G718" s="35"/>
      <c r="H718" s="34"/>
    </row>
    <row r="719" ht="12.75" customHeight="1">
      <c r="E719" s="35"/>
      <c r="F719" s="35"/>
      <c r="G719" s="35"/>
      <c r="H719" s="34"/>
    </row>
    <row r="720" ht="12.75" customHeight="1">
      <c r="E720" s="35"/>
      <c r="F720" s="35"/>
      <c r="G720" s="35"/>
      <c r="H720" s="34"/>
    </row>
    <row r="721" ht="12.75" customHeight="1">
      <c r="E721" s="35"/>
      <c r="F721" s="35"/>
      <c r="G721" s="35"/>
      <c r="H721" s="34"/>
    </row>
    <row r="722" ht="12.75" customHeight="1">
      <c r="E722" s="35"/>
      <c r="F722" s="35"/>
      <c r="G722" s="35"/>
      <c r="H722" s="34"/>
    </row>
    <row r="723" ht="12.75" customHeight="1">
      <c r="E723" s="35"/>
      <c r="F723" s="35"/>
      <c r="G723" s="35"/>
      <c r="H723" s="34"/>
    </row>
    <row r="724" ht="12.75" customHeight="1">
      <c r="E724" s="35"/>
      <c r="F724" s="35"/>
      <c r="G724" s="35"/>
      <c r="H724" s="34"/>
    </row>
    <row r="725" ht="12.75" customHeight="1">
      <c r="E725" s="35"/>
      <c r="F725" s="35"/>
      <c r="G725" s="35"/>
      <c r="H725" s="34"/>
    </row>
    <row r="726" ht="12.75" customHeight="1">
      <c r="E726" s="35"/>
      <c r="F726" s="35"/>
      <c r="G726" s="35"/>
      <c r="H726" s="34"/>
    </row>
    <row r="727" ht="12.75" customHeight="1">
      <c r="E727" s="35"/>
      <c r="F727" s="35"/>
      <c r="G727" s="35"/>
      <c r="H727" s="34"/>
    </row>
    <row r="728" ht="12.75" customHeight="1">
      <c r="E728" s="35"/>
      <c r="F728" s="35"/>
      <c r="G728" s="35"/>
      <c r="H728" s="34"/>
    </row>
    <row r="729" ht="12.75" customHeight="1">
      <c r="E729" s="35"/>
      <c r="F729" s="35"/>
      <c r="G729" s="35"/>
      <c r="H729" s="34"/>
    </row>
    <row r="730" ht="12.75" customHeight="1">
      <c r="E730" s="35"/>
      <c r="F730" s="35"/>
      <c r="G730" s="35"/>
      <c r="H730" s="34"/>
    </row>
    <row r="731" ht="12.75" customHeight="1">
      <c r="E731" s="35"/>
      <c r="F731" s="35"/>
      <c r="G731" s="35"/>
      <c r="H731" s="34"/>
    </row>
    <row r="732" ht="12.75" customHeight="1">
      <c r="E732" s="35"/>
      <c r="F732" s="35"/>
      <c r="G732" s="35"/>
      <c r="H732" s="34"/>
    </row>
    <row r="733" ht="12.75" customHeight="1">
      <c r="E733" s="35"/>
      <c r="F733" s="35"/>
      <c r="G733" s="35"/>
      <c r="H733" s="34"/>
    </row>
    <row r="734" ht="12.75" customHeight="1">
      <c r="E734" s="35"/>
      <c r="F734" s="35"/>
      <c r="G734" s="35"/>
      <c r="H734" s="34"/>
    </row>
    <row r="735" ht="12.75" customHeight="1">
      <c r="E735" s="35"/>
      <c r="F735" s="35"/>
      <c r="G735" s="35"/>
      <c r="H735" s="34"/>
    </row>
    <row r="736" ht="12.75" customHeight="1">
      <c r="E736" s="35"/>
      <c r="F736" s="35"/>
      <c r="G736" s="35"/>
      <c r="H736" s="34"/>
    </row>
    <row r="737" ht="12.75" customHeight="1">
      <c r="E737" s="35"/>
      <c r="F737" s="35"/>
      <c r="G737" s="35"/>
      <c r="H737" s="34"/>
    </row>
    <row r="738" ht="12.75" customHeight="1">
      <c r="E738" s="35"/>
      <c r="F738" s="35"/>
      <c r="G738" s="35"/>
      <c r="H738" s="34"/>
    </row>
    <row r="739" ht="12.75" customHeight="1">
      <c r="E739" s="35"/>
      <c r="F739" s="35"/>
      <c r="G739" s="35"/>
      <c r="H739" s="34"/>
    </row>
    <row r="740" ht="12.75" customHeight="1">
      <c r="E740" s="35"/>
      <c r="F740" s="35"/>
      <c r="G740" s="35"/>
      <c r="H740" s="34"/>
    </row>
    <row r="741" ht="12.75" customHeight="1">
      <c r="E741" s="35"/>
      <c r="F741" s="35"/>
      <c r="G741" s="35"/>
      <c r="H741" s="34"/>
    </row>
    <row r="742" ht="12.75" customHeight="1">
      <c r="E742" s="35"/>
      <c r="F742" s="35"/>
      <c r="G742" s="35"/>
      <c r="H742" s="34"/>
    </row>
    <row r="743" ht="12.75" customHeight="1">
      <c r="E743" s="35"/>
      <c r="F743" s="35"/>
      <c r="G743" s="35"/>
      <c r="H743" s="34"/>
    </row>
    <row r="744" ht="12.75" customHeight="1">
      <c r="E744" s="35"/>
      <c r="F744" s="35"/>
      <c r="G744" s="35"/>
      <c r="H744" s="34"/>
    </row>
    <row r="745" ht="12.75" customHeight="1">
      <c r="E745" s="35"/>
      <c r="F745" s="35"/>
      <c r="G745" s="35"/>
      <c r="H745" s="34"/>
    </row>
    <row r="746" ht="12.75" customHeight="1">
      <c r="E746" s="35"/>
      <c r="F746" s="35"/>
      <c r="G746" s="35"/>
      <c r="H746" s="34"/>
    </row>
    <row r="747" ht="12.75" customHeight="1">
      <c r="E747" s="35"/>
      <c r="F747" s="35"/>
      <c r="G747" s="35"/>
      <c r="H747" s="34"/>
    </row>
    <row r="748" ht="12.75" customHeight="1">
      <c r="E748" s="35"/>
      <c r="F748" s="35"/>
      <c r="G748" s="35"/>
      <c r="H748" s="34"/>
    </row>
    <row r="749" ht="12.75" customHeight="1">
      <c r="E749" s="35"/>
      <c r="F749" s="35"/>
      <c r="G749" s="35"/>
      <c r="H749" s="34"/>
    </row>
    <row r="750" ht="12.75" customHeight="1">
      <c r="E750" s="35"/>
      <c r="F750" s="35"/>
      <c r="G750" s="35"/>
      <c r="H750" s="34"/>
    </row>
    <row r="751" ht="12.75" customHeight="1">
      <c r="E751" s="35"/>
      <c r="F751" s="35"/>
      <c r="G751" s="35"/>
      <c r="H751" s="34"/>
    </row>
    <row r="752" ht="12.75" customHeight="1">
      <c r="E752" s="35"/>
      <c r="F752" s="35"/>
      <c r="G752" s="35"/>
      <c r="H752" s="34"/>
    </row>
    <row r="753" ht="12.75" customHeight="1">
      <c r="E753" s="35"/>
      <c r="F753" s="35"/>
      <c r="G753" s="35"/>
      <c r="H753" s="34"/>
    </row>
    <row r="754" ht="12.75" customHeight="1">
      <c r="E754" s="35"/>
      <c r="F754" s="35"/>
      <c r="G754" s="35"/>
      <c r="H754" s="34"/>
    </row>
    <row r="755" ht="12.75" customHeight="1">
      <c r="E755" s="35"/>
      <c r="F755" s="35"/>
      <c r="G755" s="35"/>
      <c r="H755" s="34"/>
    </row>
    <row r="756" ht="12.75" customHeight="1">
      <c r="E756" s="35"/>
      <c r="F756" s="35"/>
      <c r="G756" s="35"/>
      <c r="H756" s="34"/>
    </row>
    <row r="757" ht="12.75" customHeight="1">
      <c r="E757" s="35"/>
      <c r="F757" s="35"/>
      <c r="G757" s="35"/>
      <c r="H757" s="34"/>
    </row>
    <row r="758" ht="12.75" customHeight="1">
      <c r="E758" s="35"/>
      <c r="F758" s="35"/>
      <c r="G758" s="35"/>
      <c r="H758" s="34"/>
    </row>
    <row r="759" ht="12.75" customHeight="1">
      <c r="E759" s="35"/>
      <c r="F759" s="35"/>
      <c r="G759" s="35"/>
      <c r="H759" s="34"/>
    </row>
    <row r="760" ht="12.75" customHeight="1">
      <c r="E760" s="35"/>
      <c r="F760" s="35"/>
      <c r="G760" s="35"/>
      <c r="H760" s="34"/>
    </row>
    <row r="761" ht="12.75" customHeight="1">
      <c r="E761" s="35"/>
      <c r="F761" s="35"/>
      <c r="G761" s="35"/>
      <c r="H761" s="34"/>
    </row>
    <row r="762" ht="12.75" customHeight="1">
      <c r="E762" s="35"/>
      <c r="F762" s="35"/>
      <c r="G762" s="35"/>
      <c r="H762" s="34"/>
    </row>
    <row r="763" ht="12.75" customHeight="1">
      <c r="E763" s="35"/>
      <c r="F763" s="35"/>
      <c r="G763" s="35"/>
      <c r="H763" s="34"/>
    </row>
    <row r="764" ht="12.75" customHeight="1">
      <c r="E764" s="35"/>
      <c r="F764" s="35"/>
      <c r="G764" s="35"/>
      <c r="H764" s="34"/>
    </row>
    <row r="765" ht="12.75" customHeight="1">
      <c r="E765" s="35"/>
      <c r="F765" s="35"/>
      <c r="G765" s="35"/>
      <c r="H765" s="34"/>
    </row>
    <row r="766" ht="12.75" customHeight="1">
      <c r="E766" s="35"/>
      <c r="F766" s="35"/>
      <c r="G766" s="35"/>
      <c r="H766" s="34"/>
    </row>
    <row r="767" ht="12.75" customHeight="1">
      <c r="E767" s="35"/>
      <c r="F767" s="35"/>
      <c r="G767" s="35"/>
      <c r="H767" s="34"/>
    </row>
    <row r="768" ht="12.75" customHeight="1">
      <c r="E768" s="35"/>
      <c r="F768" s="35"/>
      <c r="G768" s="35"/>
      <c r="H768" s="34"/>
    </row>
    <row r="769" ht="12.75" customHeight="1">
      <c r="E769" s="35"/>
      <c r="F769" s="35"/>
      <c r="G769" s="35"/>
      <c r="H769" s="34"/>
    </row>
    <row r="770" ht="12.75" customHeight="1">
      <c r="E770" s="35"/>
      <c r="F770" s="35"/>
      <c r="G770" s="35"/>
      <c r="H770" s="34"/>
    </row>
    <row r="771" ht="12.75" customHeight="1">
      <c r="E771" s="35"/>
      <c r="F771" s="35"/>
      <c r="G771" s="35"/>
      <c r="H771" s="34"/>
    </row>
    <row r="772" ht="12.75" customHeight="1">
      <c r="E772" s="35"/>
      <c r="F772" s="35"/>
      <c r="G772" s="35"/>
      <c r="H772" s="34"/>
    </row>
    <row r="773" ht="12.75" customHeight="1">
      <c r="E773" s="35"/>
      <c r="F773" s="35"/>
      <c r="G773" s="35"/>
      <c r="H773" s="34"/>
    </row>
    <row r="774" ht="12.75" customHeight="1">
      <c r="E774" s="35"/>
      <c r="F774" s="35"/>
      <c r="G774" s="35"/>
      <c r="H774" s="34"/>
    </row>
    <row r="775" ht="12.75" customHeight="1">
      <c r="E775" s="35"/>
      <c r="F775" s="35"/>
      <c r="G775" s="35"/>
      <c r="H775" s="34"/>
    </row>
    <row r="776" ht="12.75" customHeight="1">
      <c r="E776" s="35"/>
      <c r="F776" s="35"/>
      <c r="G776" s="35"/>
      <c r="H776" s="34"/>
    </row>
    <row r="777" ht="12.75" customHeight="1">
      <c r="E777" s="35"/>
      <c r="F777" s="35"/>
      <c r="G777" s="35"/>
      <c r="H777" s="34"/>
    </row>
    <row r="778" ht="12.75" customHeight="1">
      <c r="E778" s="35"/>
      <c r="F778" s="35"/>
      <c r="G778" s="35"/>
      <c r="H778" s="34"/>
    </row>
    <row r="779" ht="12.75" customHeight="1">
      <c r="E779" s="35"/>
      <c r="F779" s="35"/>
      <c r="G779" s="35"/>
      <c r="H779" s="34"/>
    </row>
    <row r="780" ht="12.75" customHeight="1">
      <c r="E780" s="35"/>
      <c r="F780" s="35"/>
      <c r="G780" s="35"/>
      <c r="H780" s="34"/>
    </row>
    <row r="781" ht="12.75" customHeight="1">
      <c r="E781" s="35"/>
      <c r="F781" s="35"/>
      <c r="G781" s="35"/>
      <c r="H781" s="34"/>
    </row>
    <row r="782" ht="12.75" customHeight="1">
      <c r="E782" s="35"/>
      <c r="F782" s="35"/>
      <c r="G782" s="35"/>
      <c r="H782" s="34"/>
    </row>
    <row r="783" ht="12.75" customHeight="1">
      <c r="E783" s="35"/>
      <c r="F783" s="35"/>
      <c r="G783" s="35"/>
      <c r="H783" s="34"/>
    </row>
    <row r="784" ht="12.75" customHeight="1">
      <c r="E784" s="35"/>
      <c r="F784" s="35"/>
      <c r="G784" s="35"/>
      <c r="H784" s="34"/>
    </row>
    <row r="785" ht="12.75" customHeight="1">
      <c r="E785" s="35"/>
      <c r="F785" s="35"/>
      <c r="G785" s="35"/>
      <c r="H785" s="34"/>
    </row>
    <row r="786" ht="12.75" customHeight="1">
      <c r="E786" s="35"/>
      <c r="F786" s="35"/>
      <c r="G786" s="35"/>
      <c r="H786" s="34"/>
    </row>
    <row r="787" ht="12.75" customHeight="1">
      <c r="E787" s="35"/>
      <c r="F787" s="35"/>
      <c r="G787" s="35"/>
      <c r="H787" s="34"/>
    </row>
    <row r="788" ht="12.75" customHeight="1">
      <c r="E788" s="35"/>
      <c r="F788" s="35"/>
      <c r="G788" s="35"/>
      <c r="H788" s="34"/>
    </row>
    <row r="789" ht="12.75" customHeight="1">
      <c r="E789" s="35"/>
      <c r="F789" s="35"/>
      <c r="G789" s="35"/>
      <c r="H789" s="34"/>
    </row>
    <row r="790" ht="12.75" customHeight="1">
      <c r="E790" s="35"/>
      <c r="F790" s="35"/>
      <c r="G790" s="35"/>
      <c r="H790" s="34"/>
    </row>
    <row r="791" ht="12.75" customHeight="1">
      <c r="E791" s="35"/>
      <c r="F791" s="35"/>
      <c r="G791" s="35"/>
      <c r="H791" s="34"/>
    </row>
    <row r="792" ht="12.75" customHeight="1">
      <c r="E792" s="35"/>
      <c r="F792" s="35"/>
      <c r="G792" s="35"/>
      <c r="H792" s="34"/>
    </row>
    <row r="793" ht="12.75" customHeight="1">
      <c r="E793" s="35"/>
      <c r="F793" s="35"/>
      <c r="G793" s="35"/>
      <c r="H793" s="34"/>
    </row>
    <row r="794" ht="12.75" customHeight="1">
      <c r="E794" s="35"/>
      <c r="F794" s="35"/>
      <c r="G794" s="35"/>
      <c r="H794" s="34"/>
    </row>
    <row r="795" ht="12.75" customHeight="1">
      <c r="E795" s="35"/>
      <c r="F795" s="35"/>
      <c r="G795" s="35"/>
      <c r="H795" s="34"/>
    </row>
    <row r="796" ht="12.75" customHeight="1">
      <c r="E796" s="35"/>
      <c r="F796" s="35"/>
      <c r="G796" s="35"/>
      <c r="H796" s="34"/>
    </row>
    <row r="797" ht="12.75" customHeight="1">
      <c r="E797" s="35"/>
      <c r="F797" s="35"/>
      <c r="G797" s="35"/>
      <c r="H797" s="34"/>
    </row>
    <row r="798" ht="12.75" customHeight="1">
      <c r="E798" s="35"/>
      <c r="F798" s="35"/>
      <c r="G798" s="35"/>
      <c r="H798" s="34"/>
    </row>
    <row r="799" ht="12.75" customHeight="1">
      <c r="E799" s="35"/>
      <c r="F799" s="35"/>
      <c r="G799" s="35"/>
      <c r="H799" s="34"/>
    </row>
    <row r="800" ht="12.75" customHeight="1">
      <c r="E800" s="35"/>
      <c r="F800" s="35"/>
      <c r="G800" s="35"/>
      <c r="H800" s="34"/>
    </row>
    <row r="801" ht="12.75" customHeight="1">
      <c r="E801" s="35"/>
      <c r="F801" s="35"/>
      <c r="G801" s="35"/>
      <c r="H801" s="34"/>
    </row>
    <row r="802" ht="12.75" customHeight="1">
      <c r="E802" s="35"/>
      <c r="F802" s="35"/>
      <c r="G802" s="35"/>
      <c r="H802" s="34"/>
    </row>
    <row r="803" ht="12.75" customHeight="1">
      <c r="E803" s="35"/>
      <c r="F803" s="35"/>
      <c r="G803" s="35"/>
      <c r="H803" s="34"/>
    </row>
    <row r="804" ht="12.75" customHeight="1">
      <c r="E804" s="35"/>
      <c r="F804" s="35"/>
      <c r="G804" s="35"/>
      <c r="H804" s="34"/>
    </row>
    <row r="805" ht="12.75" customHeight="1">
      <c r="E805" s="35"/>
      <c r="F805" s="35"/>
      <c r="G805" s="35"/>
      <c r="H805" s="34"/>
    </row>
    <row r="806" ht="12.75" customHeight="1">
      <c r="E806" s="35"/>
      <c r="F806" s="35"/>
      <c r="G806" s="35"/>
      <c r="H806" s="34"/>
    </row>
    <row r="807" ht="12.75" customHeight="1">
      <c r="E807" s="35"/>
      <c r="F807" s="35"/>
      <c r="G807" s="35"/>
      <c r="H807" s="34"/>
    </row>
    <row r="808" ht="12.75" customHeight="1">
      <c r="E808" s="35"/>
      <c r="F808" s="35"/>
      <c r="G808" s="35"/>
      <c r="H808" s="34"/>
    </row>
    <row r="809" ht="12.75" customHeight="1">
      <c r="E809" s="35"/>
      <c r="F809" s="35"/>
      <c r="G809" s="35"/>
      <c r="H809" s="34"/>
    </row>
    <row r="810" ht="12.75" customHeight="1">
      <c r="E810" s="35"/>
      <c r="F810" s="35"/>
      <c r="G810" s="35"/>
      <c r="H810" s="34"/>
    </row>
    <row r="811" ht="12.75" customHeight="1">
      <c r="E811" s="35"/>
      <c r="F811" s="35"/>
      <c r="G811" s="35"/>
      <c r="H811" s="34"/>
    </row>
    <row r="812" ht="12.75" customHeight="1">
      <c r="E812" s="35"/>
      <c r="F812" s="35"/>
      <c r="G812" s="35"/>
      <c r="H812" s="34"/>
    </row>
    <row r="813" ht="12.75" customHeight="1">
      <c r="E813" s="35"/>
      <c r="F813" s="35"/>
      <c r="G813" s="35"/>
      <c r="H813" s="34"/>
    </row>
    <row r="814" ht="12.75" customHeight="1">
      <c r="E814" s="35"/>
      <c r="F814" s="35"/>
      <c r="G814" s="35"/>
      <c r="H814" s="34"/>
    </row>
    <row r="815" ht="12.75" customHeight="1">
      <c r="E815" s="35"/>
      <c r="F815" s="35"/>
      <c r="G815" s="35"/>
      <c r="H815" s="34"/>
    </row>
    <row r="816" ht="12.75" customHeight="1">
      <c r="E816" s="35"/>
      <c r="F816" s="35"/>
      <c r="G816" s="35"/>
      <c r="H816" s="34"/>
    </row>
    <row r="817" ht="12.75" customHeight="1">
      <c r="E817" s="35"/>
      <c r="F817" s="35"/>
      <c r="G817" s="35"/>
      <c r="H817" s="34"/>
    </row>
    <row r="818" ht="12.75" customHeight="1">
      <c r="E818" s="35"/>
      <c r="F818" s="35"/>
      <c r="G818" s="35"/>
      <c r="H818" s="34"/>
    </row>
    <row r="819" ht="12.75" customHeight="1">
      <c r="E819" s="35"/>
      <c r="F819" s="35"/>
      <c r="G819" s="35"/>
      <c r="H819" s="34"/>
    </row>
    <row r="820" ht="12.75" customHeight="1">
      <c r="E820" s="35"/>
      <c r="F820" s="35"/>
      <c r="G820" s="35"/>
      <c r="H820" s="34"/>
    </row>
    <row r="821" ht="12.75" customHeight="1">
      <c r="E821" s="35"/>
      <c r="F821" s="35"/>
      <c r="G821" s="35"/>
      <c r="H821" s="34"/>
    </row>
    <row r="822" ht="12.75" customHeight="1">
      <c r="E822" s="35"/>
      <c r="F822" s="35"/>
      <c r="G822" s="35"/>
      <c r="H822" s="34"/>
    </row>
    <row r="823" ht="12.75" customHeight="1">
      <c r="E823" s="35"/>
      <c r="F823" s="35"/>
      <c r="G823" s="35"/>
      <c r="H823" s="34"/>
    </row>
    <row r="824" ht="12.75" customHeight="1">
      <c r="E824" s="35"/>
      <c r="F824" s="35"/>
      <c r="G824" s="35"/>
      <c r="H824" s="34"/>
    </row>
    <row r="825" ht="12.75" customHeight="1">
      <c r="E825" s="35"/>
      <c r="F825" s="35"/>
      <c r="G825" s="35"/>
      <c r="H825" s="34"/>
    </row>
    <row r="826" ht="12.75" customHeight="1">
      <c r="E826" s="35"/>
      <c r="F826" s="35"/>
      <c r="G826" s="35"/>
      <c r="H826" s="34"/>
    </row>
    <row r="827" ht="12.75" customHeight="1">
      <c r="E827" s="35"/>
      <c r="F827" s="35"/>
      <c r="G827" s="35"/>
      <c r="H827" s="34"/>
    </row>
    <row r="828" ht="12.75" customHeight="1">
      <c r="E828" s="35"/>
      <c r="F828" s="35"/>
      <c r="G828" s="35"/>
      <c r="H828" s="34"/>
    </row>
    <row r="829" ht="12.75" customHeight="1">
      <c r="E829" s="35"/>
      <c r="F829" s="35"/>
      <c r="G829" s="35"/>
      <c r="H829" s="34"/>
    </row>
    <row r="830" ht="12.75" customHeight="1">
      <c r="E830" s="35"/>
      <c r="F830" s="35"/>
      <c r="G830" s="35"/>
      <c r="H830" s="34"/>
    </row>
    <row r="831" ht="12.75" customHeight="1">
      <c r="E831" s="35"/>
      <c r="F831" s="35"/>
      <c r="G831" s="35"/>
      <c r="H831" s="34"/>
    </row>
    <row r="832" ht="12.75" customHeight="1">
      <c r="E832" s="35"/>
      <c r="F832" s="35"/>
      <c r="G832" s="35"/>
      <c r="H832" s="34"/>
    </row>
    <row r="833" ht="12.75" customHeight="1">
      <c r="E833" s="35"/>
      <c r="F833" s="35"/>
      <c r="G833" s="35"/>
      <c r="H833" s="34"/>
    </row>
    <row r="834" ht="12.75" customHeight="1">
      <c r="E834" s="35"/>
      <c r="F834" s="35"/>
      <c r="G834" s="35"/>
      <c r="H834" s="34"/>
    </row>
    <row r="835" ht="12.75" customHeight="1">
      <c r="E835" s="35"/>
      <c r="F835" s="35"/>
      <c r="G835" s="35"/>
      <c r="H835" s="34"/>
    </row>
    <row r="836" ht="12.75" customHeight="1">
      <c r="E836" s="35"/>
      <c r="F836" s="35"/>
      <c r="G836" s="35"/>
      <c r="H836" s="34"/>
    </row>
    <row r="837" ht="12.75" customHeight="1">
      <c r="E837" s="35"/>
      <c r="F837" s="35"/>
      <c r="G837" s="35"/>
      <c r="H837" s="34"/>
    </row>
    <row r="838" ht="12.75" customHeight="1">
      <c r="E838" s="35"/>
      <c r="F838" s="35"/>
      <c r="G838" s="35"/>
      <c r="H838" s="34"/>
    </row>
    <row r="839" ht="12.75" customHeight="1">
      <c r="E839" s="35"/>
      <c r="F839" s="35"/>
      <c r="G839" s="35"/>
      <c r="H839" s="34"/>
    </row>
    <row r="840" ht="12.75" customHeight="1">
      <c r="E840" s="35"/>
      <c r="F840" s="35"/>
      <c r="G840" s="35"/>
      <c r="H840" s="34"/>
    </row>
    <row r="841" ht="12.75" customHeight="1">
      <c r="E841" s="35"/>
      <c r="F841" s="35"/>
      <c r="G841" s="35"/>
      <c r="H841" s="34"/>
    </row>
    <row r="842" ht="12.75" customHeight="1">
      <c r="E842" s="35"/>
      <c r="F842" s="35"/>
      <c r="G842" s="35"/>
      <c r="H842" s="34"/>
    </row>
    <row r="843" ht="12.75" customHeight="1">
      <c r="E843" s="35"/>
      <c r="F843" s="35"/>
      <c r="G843" s="35"/>
      <c r="H843" s="34"/>
    </row>
    <row r="844" ht="12.75" customHeight="1">
      <c r="E844" s="35"/>
      <c r="F844" s="35"/>
      <c r="G844" s="35"/>
      <c r="H844" s="34"/>
    </row>
    <row r="845" ht="12.75" customHeight="1">
      <c r="E845" s="35"/>
      <c r="F845" s="35"/>
      <c r="G845" s="35"/>
      <c r="H845" s="34"/>
    </row>
    <row r="846" ht="12.75" customHeight="1">
      <c r="E846" s="35"/>
      <c r="F846" s="35"/>
      <c r="G846" s="35"/>
      <c r="H846" s="34"/>
    </row>
    <row r="847" ht="12.75" customHeight="1">
      <c r="E847" s="35"/>
      <c r="F847" s="35"/>
      <c r="G847" s="35"/>
      <c r="H847" s="34"/>
    </row>
    <row r="848" ht="12.75" customHeight="1">
      <c r="E848" s="35"/>
      <c r="F848" s="35"/>
      <c r="G848" s="35"/>
      <c r="H848" s="34"/>
    </row>
    <row r="849" ht="12.75" customHeight="1">
      <c r="E849" s="35"/>
      <c r="F849" s="35"/>
      <c r="G849" s="35"/>
      <c r="H849" s="34"/>
    </row>
    <row r="850" ht="12.75" customHeight="1">
      <c r="E850" s="35"/>
      <c r="F850" s="35"/>
      <c r="G850" s="35"/>
      <c r="H850" s="34"/>
    </row>
    <row r="851" ht="12.75" customHeight="1">
      <c r="E851" s="35"/>
      <c r="F851" s="35"/>
      <c r="G851" s="35"/>
      <c r="H851" s="34"/>
    </row>
    <row r="852" ht="12.75" customHeight="1">
      <c r="E852" s="35"/>
      <c r="F852" s="35"/>
      <c r="G852" s="35"/>
      <c r="H852" s="34"/>
    </row>
    <row r="853" ht="12.75" customHeight="1">
      <c r="E853" s="35"/>
      <c r="F853" s="35"/>
      <c r="G853" s="35"/>
      <c r="H853" s="34"/>
    </row>
    <row r="854" ht="12.75" customHeight="1">
      <c r="E854" s="35"/>
      <c r="F854" s="35"/>
      <c r="G854" s="35"/>
      <c r="H854" s="34"/>
    </row>
    <row r="855" ht="12.75" customHeight="1">
      <c r="E855" s="35"/>
      <c r="F855" s="35"/>
      <c r="G855" s="35"/>
      <c r="H855" s="34"/>
    </row>
    <row r="856" ht="12.75" customHeight="1">
      <c r="E856" s="35"/>
      <c r="F856" s="35"/>
      <c r="G856" s="35"/>
      <c r="H856" s="34"/>
    </row>
    <row r="857" ht="12.75" customHeight="1">
      <c r="E857" s="35"/>
      <c r="F857" s="35"/>
      <c r="G857" s="35"/>
      <c r="H857" s="34"/>
    </row>
    <row r="858" ht="12.75" customHeight="1">
      <c r="E858" s="35"/>
      <c r="F858" s="35"/>
      <c r="G858" s="35"/>
      <c r="H858" s="34"/>
    </row>
    <row r="859" ht="12.75" customHeight="1">
      <c r="E859" s="35"/>
      <c r="F859" s="35"/>
      <c r="G859" s="35"/>
      <c r="H859" s="34"/>
    </row>
    <row r="860" ht="12.75" customHeight="1">
      <c r="E860" s="35"/>
      <c r="F860" s="35"/>
      <c r="G860" s="35"/>
      <c r="H860" s="34"/>
    </row>
    <row r="861" ht="12.75" customHeight="1">
      <c r="E861" s="35"/>
      <c r="F861" s="35"/>
      <c r="G861" s="35"/>
      <c r="H861" s="34"/>
    </row>
    <row r="862" ht="12.75" customHeight="1">
      <c r="E862" s="35"/>
      <c r="F862" s="35"/>
      <c r="G862" s="35"/>
      <c r="H862" s="34"/>
    </row>
    <row r="863" ht="12.75" customHeight="1">
      <c r="E863" s="35"/>
      <c r="F863" s="35"/>
      <c r="G863" s="35"/>
      <c r="H863" s="34"/>
    </row>
    <row r="864" ht="12.75" customHeight="1">
      <c r="E864" s="35"/>
      <c r="F864" s="35"/>
      <c r="G864" s="35"/>
      <c r="H864" s="34"/>
    </row>
    <row r="865" ht="12.75" customHeight="1">
      <c r="E865" s="35"/>
      <c r="F865" s="35"/>
      <c r="G865" s="35"/>
      <c r="H865" s="34"/>
    </row>
    <row r="866" ht="12.75" customHeight="1">
      <c r="E866" s="35"/>
      <c r="F866" s="35"/>
      <c r="G866" s="35"/>
      <c r="H866" s="34"/>
    </row>
    <row r="867" ht="12.75" customHeight="1">
      <c r="E867" s="35"/>
      <c r="F867" s="35"/>
      <c r="G867" s="35"/>
      <c r="H867" s="34"/>
    </row>
    <row r="868" ht="12.75" customHeight="1">
      <c r="E868" s="35"/>
      <c r="F868" s="35"/>
      <c r="G868" s="35"/>
      <c r="H868" s="34"/>
    </row>
    <row r="869" ht="12.75" customHeight="1">
      <c r="E869" s="35"/>
      <c r="F869" s="35"/>
      <c r="G869" s="35"/>
      <c r="H869" s="34"/>
    </row>
    <row r="870" ht="12.75" customHeight="1">
      <c r="E870" s="35"/>
      <c r="F870" s="35"/>
      <c r="G870" s="35"/>
      <c r="H870" s="34"/>
    </row>
    <row r="871" ht="12.75" customHeight="1">
      <c r="E871" s="35"/>
      <c r="F871" s="35"/>
      <c r="G871" s="35"/>
      <c r="H871" s="34"/>
    </row>
    <row r="872" ht="12.75" customHeight="1">
      <c r="E872" s="35"/>
      <c r="F872" s="35"/>
      <c r="G872" s="35"/>
      <c r="H872" s="34"/>
    </row>
    <row r="873" ht="12.75" customHeight="1">
      <c r="E873" s="35"/>
      <c r="F873" s="35"/>
      <c r="G873" s="35"/>
      <c r="H873" s="34"/>
    </row>
    <row r="874" ht="12.75" customHeight="1">
      <c r="E874" s="35"/>
      <c r="F874" s="35"/>
      <c r="G874" s="35"/>
      <c r="H874" s="34"/>
    </row>
    <row r="875" ht="12.75" customHeight="1">
      <c r="E875" s="35"/>
      <c r="F875" s="35"/>
      <c r="G875" s="35"/>
      <c r="H875" s="34"/>
    </row>
    <row r="876" ht="12.75" customHeight="1">
      <c r="E876" s="35"/>
      <c r="F876" s="35"/>
      <c r="G876" s="35"/>
      <c r="H876" s="34"/>
    </row>
    <row r="877" ht="12.75" customHeight="1">
      <c r="E877" s="35"/>
      <c r="F877" s="35"/>
      <c r="G877" s="35"/>
      <c r="H877" s="34"/>
    </row>
    <row r="878" ht="12.75" customHeight="1">
      <c r="E878" s="35"/>
      <c r="F878" s="35"/>
      <c r="G878" s="35"/>
      <c r="H878" s="34"/>
    </row>
    <row r="879" ht="12.75" customHeight="1">
      <c r="E879" s="35"/>
      <c r="F879" s="35"/>
      <c r="G879" s="35"/>
      <c r="H879" s="34"/>
    </row>
    <row r="880" ht="12.75" customHeight="1">
      <c r="E880" s="35"/>
      <c r="F880" s="35"/>
      <c r="G880" s="35"/>
      <c r="H880" s="34"/>
    </row>
    <row r="881" ht="12.75" customHeight="1">
      <c r="E881" s="35"/>
      <c r="F881" s="35"/>
      <c r="G881" s="35"/>
      <c r="H881" s="34"/>
    </row>
    <row r="882" ht="12.75" customHeight="1">
      <c r="E882" s="35"/>
      <c r="F882" s="35"/>
      <c r="G882" s="35"/>
      <c r="H882" s="34"/>
    </row>
    <row r="883" ht="12.75" customHeight="1">
      <c r="E883" s="35"/>
      <c r="F883" s="35"/>
      <c r="G883" s="35"/>
      <c r="H883" s="34"/>
    </row>
    <row r="884" ht="12.75" customHeight="1">
      <c r="E884" s="35"/>
      <c r="F884" s="35"/>
      <c r="G884" s="35"/>
      <c r="H884" s="34"/>
    </row>
    <row r="885" ht="12.75" customHeight="1">
      <c r="E885" s="35"/>
      <c r="F885" s="35"/>
      <c r="G885" s="35"/>
      <c r="H885" s="34"/>
    </row>
    <row r="886" ht="12.75" customHeight="1">
      <c r="E886" s="35"/>
      <c r="F886" s="35"/>
      <c r="G886" s="35"/>
      <c r="H886" s="34"/>
    </row>
    <row r="887" ht="12.75" customHeight="1">
      <c r="E887" s="35"/>
      <c r="F887" s="35"/>
      <c r="G887" s="35"/>
      <c r="H887" s="34"/>
    </row>
    <row r="888" ht="12.75" customHeight="1">
      <c r="E888" s="35"/>
      <c r="F888" s="35"/>
      <c r="G888" s="35"/>
      <c r="H888" s="34"/>
    </row>
    <row r="889" ht="12.75" customHeight="1">
      <c r="E889" s="35"/>
      <c r="F889" s="35"/>
      <c r="G889" s="35"/>
      <c r="H889" s="34"/>
    </row>
    <row r="890" ht="12.75" customHeight="1">
      <c r="E890" s="35"/>
      <c r="F890" s="35"/>
      <c r="G890" s="35"/>
      <c r="H890" s="34"/>
    </row>
    <row r="891" ht="12.75" customHeight="1">
      <c r="E891" s="35"/>
      <c r="F891" s="35"/>
      <c r="G891" s="35"/>
      <c r="H891" s="34"/>
    </row>
    <row r="892" ht="12.75" customHeight="1">
      <c r="E892" s="35"/>
      <c r="F892" s="35"/>
      <c r="G892" s="35"/>
      <c r="H892" s="34"/>
    </row>
    <row r="893" ht="12.75" customHeight="1">
      <c r="E893" s="35"/>
      <c r="F893" s="35"/>
      <c r="G893" s="35"/>
      <c r="H893" s="34"/>
    </row>
    <row r="894" ht="12.75" customHeight="1">
      <c r="E894" s="35"/>
      <c r="F894" s="35"/>
      <c r="G894" s="35"/>
      <c r="H894" s="34"/>
    </row>
    <row r="895" ht="12.75" customHeight="1">
      <c r="E895" s="35"/>
      <c r="F895" s="35"/>
      <c r="G895" s="35"/>
      <c r="H895" s="34"/>
    </row>
    <row r="896" ht="12.75" customHeight="1">
      <c r="E896" s="35"/>
      <c r="F896" s="35"/>
      <c r="G896" s="35"/>
      <c r="H896" s="34"/>
    </row>
    <row r="897" ht="12.75" customHeight="1">
      <c r="E897" s="35"/>
      <c r="F897" s="35"/>
      <c r="G897" s="35"/>
      <c r="H897" s="34"/>
    </row>
    <row r="898" ht="12.75" customHeight="1">
      <c r="E898" s="35"/>
      <c r="F898" s="35"/>
      <c r="G898" s="35"/>
      <c r="H898" s="34"/>
    </row>
    <row r="899" ht="12.75" customHeight="1">
      <c r="E899" s="35"/>
      <c r="F899" s="35"/>
      <c r="G899" s="35"/>
      <c r="H899" s="34"/>
    </row>
    <row r="900" ht="12.75" customHeight="1">
      <c r="E900" s="35"/>
      <c r="F900" s="35"/>
      <c r="G900" s="35"/>
      <c r="H900" s="34"/>
    </row>
    <row r="901" ht="12.75" customHeight="1">
      <c r="E901" s="35"/>
      <c r="F901" s="35"/>
      <c r="G901" s="35"/>
      <c r="H901" s="34"/>
    </row>
    <row r="902" ht="12.75" customHeight="1">
      <c r="E902" s="35"/>
      <c r="F902" s="35"/>
      <c r="G902" s="35"/>
      <c r="H902" s="34"/>
    </row>
    <row r="903" ht="12.75" customHeight="1">
      <c r="E903" s="35"/>
      <c r="F903" s="35"/>
      <c r="G903" s="35"/>
      <c r="H903" s="34"/>
    </row>
    <row r="904" ht="12.75" customHeight="1">
      <c r="E904" s="35"/>
      <c r="F904" s="35"/>
      <c r="G904" s="35"/>
      <c r="H904" s="34"/>
    </row>
    <row r="905" ht="12.75" customHeight="1">
      <c r="E905" s="35"/>
      <c r="F905" s="35"/>
      <c r="G905" s="35"/>
      <c r="H905" s="34"/>
    </row>
    <row r="906" ht="12.75" customHeight="1">
      <c r="E906" s="35"/>
      <c r="F906" s="35"/>
      <c r="G906" s="35"/>
      <c r="H906" s="34"/>
    </row>
    <row r="907" ht="12.75" customHeight="1">
      <c r="E907" s="35"/>
      <c r="F907" s="35"/>
      <c r="G907" s="35"/>
      <c r="H907" s="34"/>
    </row>
    <row r="908" ht="12.75" customHeight="1">
      <c r="E908" s="35"/>
      <c r="F908" s="35"/>
      <c r="G908" s="35"/>
      <c r="H908" s="34"/>
    </row>
    <row r="909" ht="12.75" customHeight="1">
      <c r="E909" s="35"/>
      <c r="F909" s="35"/>
      <c r="G909" s="35"/>
      <c r="H909" s="34"/>
    </row>
    <row r="910" ht="12.75" customHeight="1">
      <c r="E910" s="35"/>
      <c r="F910" s="35"/>
      <c r="G910" s="35"/>
      <c r="H910" s="34"/>
    </row>
    <row r="911" ht="12.75" customHeight="1">
      <c r="E911" s="35"/>
      <c r="F911" s="35"/>
      <c r="G911" s="35"/>
      <c r="H911" s="34"/>
    </row>
    <row r="912" ht="12.75" customHeight="1">
      <c r="E912" s="35"/>
      <c r="F912" s="35"/>
      <c r="G912" s="35"/>
      <c r="H912" s="34"/>
    </row>
    <row r="913" ht="12.75" customHeight="1">
      <c r="E913" s="35"/>
      <c r="F913" s="35"/>
      <c r="G913" s="35"/>
      <c r="H913" s="34"/>
    </row>
    <row r="914" ht="12.75" customHeight="1">
      <c r="E914" s="35"/>
      <c r="F914" s="35"/>
      <c r="G914" s="35"/>
      <c r="H914" s="34"/>
    </row>
    <row r="915" ht="12.75" customHeight="1">
      <c r="E915" s="35"/>
      <c r="F915" s="35"/>
      <c r="G915" s="35"/>
      <c r="H915" s="34"/>
    </row>
    <row r="916" ht="12.75" customHeight="1">
      <c r="E916" s="35"/>
      <c r="F916" s="35"/>
      <c r="G916" s="35"/>
      <c r="H916" s="34"/>
    </row>
    <row r="917" ht="12.75" customHeight="1">
      <c r="E917" s="35"/>
      <c r="F917" s="35"/>
      <c r="G917" s="35"/>
      <c r="H917" s="34"/>
    </row>
    <row r="918" ht="12.75" customHeight="1">
      <c r="E918" s="35"/>
      <c r="F918" s="35"/>
      <c r="G918" s="35"/>
      <c r="H918" s="34"/>
    </row>
    <row r="919" ht="12.75" customHeight="1">
      <c r="E919" s="35"/>
      <c r="F919" s="35"/>
      <c r="G919" s="35"/>
      <c r="H919" s="34"/>
    </row>
    <row r="920" ht="12.75" customHeight="1">
      <c r="E920" s="35"/>
      <c r="F920" s="35"/>
      <c r="G920" s="35"/>
      <c r="H920" s="34"/>
    </row>
    <row r="921" ht="12.75" customHeight="1">
      <c r="E921" s="35"/>
      <c r="F921" s="35"/>
      <c r="G921" s="35"/>
      <c r="H921" s="34"/>
    </row>
    <row r="922" ht="12.75" customHeight="1">
      <c r="E922" s="35"/>
      <c r="F922" s="35"/>
      <c r="G922" s="35"/>
      <c r="H922" s="34"/>
    </row>
    <row r="923" ht="12.75" customHeight="1">
      <c r="E923" s="35"/>
      <c r="F923" s="35"/>
      <c r="G923" s="35"/>
      <c r="H923" s="34"/>
    </row>
    <row r="924" ht="12.75" customHeight="1">
      <c r="E924" s="35"/>
      <c r="F924" s="35"/>
      <c r="G924" s="35"/>
      <c r="H924" s="34"/>
    </row>
    <row r="925" ht="12.75" customHeight="1">
      <c r="E925" s="35"/>
      <c r="F925" s="35"/>
      <c r="G925" s="35"/>
      <c r="H925" s="34"/>
    </row>
    <row r="926" ht="12.75" customHeight="1">
      <c r="E926" s="35"/>
      <c r="F926" s="35"/>
      <c r="G926" s="35"/>
      <c r="H926" s="34"/>
    </row>
    <row r="927" ht="12.75" customHeight="1">
      <c r="E927" s="35"/>
      <c r="F927" s="35"/>
      <c r="G927" s="35"/>
      <c r="H927" s="34"/>
    </row>
    <row r="928" ht="12.75" customHeight="1">
      <c r="E928" s="35"/>
      <c r="F928" s="35"/>
      <c r="G928" s="35"/>
      <c r="H928" s="34"/>
    </row>
    <row r="929" ht="12.75" customHeight="1">
      <c r="E929" s="35"/>
      <c r="F929" s="35"/>
      <c r="G929" s="35"/>
      <c r="H929" s="34"/>
    </row>
    <row r="930" ht="12.75" customHeight="1">
      <c r="E930" s="35"/>
      <c r="F930" s="35"/>
      <c r="G930" s="35"/>
      <c r="H930" s="34"/>
    </row>
    <row r="931" ht="12.75" customHeight="1">
      <c r="E931" s="35"/>
      <c r="F931" s="35"/>
      <c r="G931" s="35"/>
      <c r="H931" s="34"/>
    </row>
    <row r="932" ht="12.75" customHeight="1">
      <c r="E932" s="35"/>
      <c r="F932" s="35"/>
      <c r="G932" s="35"/>
      <c r="H932" s="34"/>
    </row>
    <row r="933" ht="12.75" customHeight="1">
      <c r="E933" s="35"/>
      <c r="F933" s="35"/>
      <c r="G933" s="35"/>
      <c r="H933" s="34"/>
    </row>
    <row r="934" ht="12.75" customHeight="1">
      <c r="E934" s="35"/>
      <c r="F934" s="35"/>
      <c r="G934" s="35"/>
      <c r="H934" s="34"/>
    </row>
    <row r="935" ht="12.75" customHeight="1">
      <c r="E935" s="35"/>
      <c r="F935" s="35"/>
      <c r="G935" s="35"/>
      <c r="H935" s="34"/>
    </row>
    <row r="936" ht="12.75" customHeight="1">
      <c r="E936" s="35"/>
      <c r="F936" s="35"/>
      <c r="G936" s="35"/>
      <c r="H936" s="34"/>
    </row>
    <row r="937" ht="12.75" customHeight="1">
      <c r="E937" s="35"/>
      <c r="F937" s="35"/>
      <c r="G937" s="35"/>
      <c r="H937" s="34"/>
    </row>
    <row r="938" ht="12.75" customHeight="1">
      <c r="E938" s="35"/>
      <c r="F938" s="35"/>
      <c r="G938" s="35"/>
      <c r="H938" s="34"/>
    </row>
    <row r="939" ht="12.75" customHeight="1">
      <c r="E939" s="35"/>
      <c r="F939" s="35"/>
      <c r="G939" s="35"/>
      <c r="H939" s="34"/>
    </row>
    <row r="940" ht="12.75" customHeight="1">
      <c r="E940" s="35"/>
      <c r="F940" s="35"/>
      <c r="G940" s="35"/>
      <c r="H940" s="34"/>
    </row>
    <row r="941" ht="12.75" customHeight="1">
      <c r="E941" s="35"/>
      <c r="F941" s="35"/>
      <c r="G941" s="35"/>
      <c r="H941" s="34"/>
    </row>
    <row r="942" ht="12.75" customHeight="1">
      <c r="E942" s="35"/>
      <c r="F942" s="35"/>
      <c r="G942" s="35"/>
      <c r="H942" s="34"/>
    </row>
    <row r="943" ht="12.75" customHeight="1">
      <c r="E943" s="35"/>
      <c r="F943" s="35"/>
      <c r="G943" s="35"/>
      <c r="H943" s="34"/>
    </row>
    <row r="944" ht="12.75" customHeight="1">
      <c r="E944" s="35"/>
      <c r="F944" s="35"/>
      <c r="G944" s="35"/>
      <c r="H944" s="34"/>
    </row>
    <row r="945" ht="12.75" customHeight="1">
      <c r="E945" s="35"/>
      <c r="F945" s="35"/>
      <c r="G945" s="35"/>
      <c r="H945" s="34"/>
    </row>
    <row r="946" ht="12.75" customHeight="1">
      <c r="E946" s="35"/>
      <c r="F946" s="35"/>
      <c r="G946" s="35"/>
      <c r="H946" s="34"/>
    </row>
    <row r="947" ht="12.75" customHeight="1">
      <c r="E947" s="35"/>
      <c r="F947" s="35"/>
      <c r="G947" s="35"/>
      <c r="H947" s="34"/>
    </row>
    <row r="948" ht="12.75" customHeight="1">
      <c r="E948" s="35"/>
      <c r="F948" s="35"/>
      <c r="G948" s="35"/>
      <c r="H948" s="34"/>
    </row>
    <row r="949" ht="12.75" customHeight="1">
      <c r="E949" s="35"/>
      <c r="F949" s="35"/>
      <c r="G949" s="35"/>
      <c r="H949" s="34"/>
    </row>
    <row r="950" ht="12.75" customHeight="1">
      <c r="E950" s="35"/>
      <c r="F950" s="35"/>
      <c r="G950" s="35"/>
      <c r="H950" s="34"/>
    </row>
    <row r="951" ht="12.75" customHeight="1">
      <c r="E951" s="35"/>
      <c r="F951" s="35"/>
      <c r="G951" s="35"/>
      <c r="H951" s="34"/>
    </row>
    <row r="952" ht="12.75" customHeight="1">
      <c r="E952" s="35"/>
      <c r="F952" s="35"/>
      <c r="G952" s="35"/>
      <c r="H952" s="34"/>
    </row>
    <row r="953" ht="12.75" customHeight="1">
      <c r="E953" s="35"/>
      <c r="F953" s="35"/>
      <c r="G953" s="35"/>
      <c r="H953" s="34"/>
    </row>
    <row r="954" ht="12.75" customHeight="1">
      <c r="E954" s="35"/>
      <c r="F954" s="35"/>
      <c r="G954" s="35"/>
      <c r="H954" s="34"/>
    </row>
    <row r="955" ht="12.75" customHeight="1">
      <c r="E955" s="35"/>
      <c r="F955" s="35"/>
      <c r="G955" s="35"/>
      <c r="H955" s="34"/>
    </row>
    <row r="956" ht="12.75" customHeight="1">
      <c r="E956" s="35"/>
      <c r="F956" s="35"/>
      <c r="G956" s="35"/>
      <c r="H956" s="34"/>
    </row>
    <row r="957" ht="12.75" customHeight="1">
      <c r="E957" s="35"/>
      <c r="F957" s="35"/>
      <c r="G957" s="35"/>
      <c r="H957" s="34"/>
    </row>
    <row r="958" ht="12.75" customHeight="1">
      <c r="E958" s="35"/>
      <c r="F958" s="35"/>
      <c r="G958" s="35"/>
      <c r="H958" s="34"/>
    </row>
    <row r="959" ht="12.75" customHeight="1">
      <c r="E959" s="35"/>
      <c r="F959" s="35"/>
      <c r="G959" s="35"/>
      <c r="H959" s="34"/>
    </row>
    <row r="960" ht="12.75" customHeight="1">
      <c r="E960" s="35"/>
      <c r="F960" s="35"/>
      <c r="G960" s="35"/>
      <c r="H960" s="34"/>
    </row>
    <row r="961" ht="12.75" customHeight="1">
      <c r="E961" s="35"/>
      <c r="F961" s="35"/>
      <c r="G961" s="35"/>
      <c r="H961" s="34"/>
    </row>
    <row r="962" ht="12.75" customHeight="1">
      <c r="E962" s="35"/>
      <c r="F962" s="35"/>
      <c r="G962" s="35"/>
      <c r="H962" s="34"/>
    </row>
    <row r="963" ht="12.75" customHeight="1">
      <c r="E963" s="35"/>
      <c r="F963" s="35"/>
      <c r="G963" s="35"/>
      <c r="H963" s="34"/>
    </row>
    <row r="964" ht="12.75" customHeight="1">
      <c r="E964" s="35"/>
      <c r="F964" s="35"/>
      <c r="G964" s="35"/>
      <c r="H964" s="34"/>
    </row>
    <row r="965" ht="12.75" customHeight="1">
      <c r="E965" s="35"/>
      <c r="F965" s="35"/>
      <c r="G965" s="35"/>
      <c r="H965" s="34"/>
    </row>
    <row r="966" ht="12.75" customHeight="1">
      <c r="E966" s="35"/>
      <c r="F966" s="35"/>
      <c r="G966" s="35"/>
      <c r="H966" s="34"/>
    </row>
    <row r="967" ht="12.75" customHeight="1">
      <c r="E967" s="35"/>
      <c r="F967" s="35"/>
      <c r="G967" s="35"/>
      <c r="H967" s="34"/>
    </row>
    <row r="968" ht="12.75" customHeight="1">
      <c r="E968" s="35"/>
      <c r="F968" s="35"/>
      <c r="G968" s="35"/>
      <c r="H968" s="34"/>
    </row>
    <row r="969" ht="12.75" customHeight="1">
      <c r="E969" s="35"/>
      <c r="F969" s="35"/>
      <c r="G969" s="35"/>
      <c r="H969" s="34"/>
    </row>
    <row r="970" ht="12.75" customHeight="1">
      <c r="E970" s="35"/>
      <c r="F970" s="35"/>
      <c r="G970" s="35"/>
      <c r="H970" s="34"/>
    </row>
    <row r="971" ht="12.75" customHeight="1">
      <c r="E971" s="35"/>
      <c r="F971" s="35"/>
      <c r="G971" s="35"/>
      <c r="H971" s="34"/>
    </row>
    <row r="972" ht="12.75" customHeight="1">
      <c r="E972" s="35"/>
      <c r="F972" s="35"/>
      <c r="G972" s="35"/>
      <c r="H972" s="34"/>
    </row>
    <row r="973" ht="12.75" customHeight="1">
      <c r="E973" s="35"/>
      <c r="F973" s="35"/>
      <c r="G973" s="35"/>
      <c r="H973" s="34"/>
    </row>
    <row r="974" ht="12.75" customHeight="1">
      <c r="E974" s="35"/>
      <c r="F974" s="35"/>
      <c r="G974" s="35"/>
      <c r="H974" s="34"/>
    </row>
    <row r="975" ht="12.75" customHeight="1">
      <c r="E975" s="35"/>
      <c r="F975" s="35"/>
      <c r="G975" s="35"/>
      <c r="H975" s="34"/>
    </row>
    <row r="976" ht="12.75" customHeight="1">
      <c r="E976" s="35"/>
      <c r="F976" s="35"/>
      <c r="G976" s="35"/>
      <c r="H976" s="34"/>
    </row>
    <row r="977" ht="12.75" customHeight="1">
      <c r="E977" s="35"/>
      <c r="F977" s="35"/>
      <c r="G977" s="35"/>
      <c r="H977" s="34"/>
    </row>
    <row r="978" ht="12.75" customHeight="1">
      <c r="E978" s="35"/>
      <c r="F978" s="35"/>
      <c r="G978" s="35"/>
      <c r="H978" s="34"/>
    </row>
    <row r="979" ht="12.75" customHeight="1">
      <c r="E979" s="35"/>
      <c r="F979" s="35"/>
      <c r="G979" s="35"/>
      <c r="H979" s="34"/>
    </row>
    <row r="980" ht="12.75" customHeight="1">
      <c r="E980" s="35"/>
      <c r="F980" s="35"/>
      <c r="G980" s="35"/>
      <c r="H980" s="34"/>
    </row>
    <row r="981" ht="12.75" customHeight="1">
      <c r="E981" s="35"/>
      <c r="F981" s="35"/>
      <c r="G981" s="35"/>
      <c r="H981" s="34"/>
    </row>
    <row r="982" ht="12.75" customHeight="1">
      <c r="E982" s="35"/>
      <c r="F982" s="35"/>
      <c r="G982" s="35"/>
      <c r="H982" s="34"/>
    </row>
    <row r="983" ht="12.75" customHeight="1">
      <c r="E983" s="35"/>
      <c r="F983" s="35"/>
      <c r="G983" s="35"/>
      <c r="H983" s="34"/>
    </row>
    <row r="984" ht="12.75" customHeight="1">
      <c r="E984" s="35"/>
      <c r="F984" s="35"/>
      <c r="G984" s="35"/>
      <c r="H984" s="34"/>
    </row>
    <row r="985" ht="12.75" customHeight="1">
      <c r="E985" s="35"/>
      <c r="F985" s="35"/>
      <c r="G985" s="35"/>
      <c r="H985" s="34"/>
    </row>
    <row r="986" ht="12.75" customHeight="1">
      <c r="E986" s="35"/>
      <c r="F986" s="35"/>
      <c r="G986" s="35"/>
      <c r="H986" s="34"/>
    </row>
    <row r="987" ht="12.75" customHeight="1">
      <c r="E987" s="35"/>
      <c r="F987" s="35"/>
      <c r="G987" s="35"/>
      <c r="H987" s="34"/>
    </row>
    <row r="988" ht="12.75" customHeight="1">
      <c r="E988" s="35"/>
      <c r="F988" s="35"/>
      <c r="G988" s="35"/>
      <c r="H988" s="34"/>
    </row>
    <row r="989" ht="12.75" customHeight="1">
      <c r="E989" s="35"/>
      <c r="F989" s="35"/>
      <c r="G989" s="35"/>
      <c r="H989" s="34"/>
    </row>
    <row r="990" ht="12.75" customHeight="1">
      <c r="E990" s="35"/>
      <c r="F990" s="35"/>
      <c r="G990" s="35"/>
      <c r="H990" s="34"/>
    </row>
    <row r="991" ht="12.75" customHeight="1">
      <c r="E991" s="35"/>
      <c r="F991" s="35"/>
      <c r="G991" s="35"/>
      <c r="H991" s="34"/>
    </row>
    <row r="992" ht="12.75" customHeight="1">
      <c r="E992" s="35"/>
      <c r="F992" s="35"/>
      <c r="G992" s="35"/>
      <c r="H992" s="34"/>
    </row>
    <row r="993" ht="12.75" customHeight="1">
      <c r="E993" s="35"/>
      <c r="F993" s="35"/>
      <c r="G993" s="35"/>
      <c r="H993" s="34"/>
    </row>
    <row r="994" ht="12.75" customHeight="1">
      <c r="E994" s="35"/>
      <c r="F994" s="35"/>
      <c r="G994" s="35"/>
      <c r="H994" s="34"/>
    </row>
    <row r="995" ht="12.75" customHeight="1">
      <c r="E995" s="35"/>
      <c r="F995" s="35"/>
      <c r="G995" s="35"/>
      <c r="H995" s="34"/>
    </row>
    <row r="996" ht="12.75" customHeight="1">
      <c r="E996" s="35"/>
      <c r="F996" s="35"/>
      <c r="G996" s="35"/>
      <c r="H996" s="34"/>
    </row>
    <row r="997" ht="12.75" customHeight="1">
      <c r="E997" s="35"/>
      <c r="F997" s="35"/>
      <c r="G997" s="35"/>
      <c r="H997" s="34"/>
    </row>
    <row r="998" ht="12.75" customHeight="1">
      <c r="E998" s="35"/>
      <c r="F998" s="35"/>
      <c r="G998" s="35"/>
      <c r="H998" s="34"/>
    </row>
    <row r="999" ht="12.75" customHeight="1">
      <c r="E999" s="35"/>
      <c r="F999" s="35"/>
      <c r="G999" s="35"/>
      <c r="H999" s="34"/>
    </row>
    <row r="1000" ht="12.75" customHeight="1">
      <c r="E1000" s="35"/>
      <c r="F1000" s="35"/>
      <c r="G1000" s="35"/>
      <c r="H1000" s="34"/>
    </row>
  </sheetData>
  <autoFilter ref="$B$7:$R$7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3" width="11.43"/>
    <col customWidth="1" min="4" max="4" width="24.29"/>
    <col customWidth="1" min="5" max="5" width="15.0"/>
    <col customWidth="1" min="6" max="6" width="13.29"/>
    <col customWidth="1" min="7" max="9" width="11.57"/>
    <col customWidth="1" min="10" max="19" width="3.71"/>
    <col customWidth="1" min="20" max="26" width="8.71"/>
  </cols>
  <sheetData>
    <row r="1" ht="12.75" customHeight="1"/>
    <row r="2" ht="12.75" customHeight="1"/>
    <row r="3" ht="12.75" customHeight="1"/>
    <row r="4" ht="12.75" customHeight="1"/>
    <row r="5" ht="12.75" customHeight="1">
      <c r="B5" s="2" t="s">
        <v>116</v>
      </c>
      <c r="J5" s="38"/>
      <c r="N5" s="38"/>
    </row>
    <row r="6" ht="12.75" customHeight="1">
      <c r="B6" s="2"/>
      <c r="J6" s="38"/>
      <c r="N6" s="38" t="s">
        <v>117</v>
      </c>
    </row>
    <row r="7" ht="34.5" customHeight="1">
      <c r="B7" s="3" t="s">
        <v>96</v>
      </c>
      <c r="C7" s="3" t="s">
        <v>118</v>
      </c>
      <c r="D7" s="3" t="s">
        <v>119</v>
      </c>
      <c r="E7" s="3" t="s">
        <v>99</v>
      </c>
      <c r="F7" s="3" t="s">
        <v>8</v>
      </c>
      <c r="G7" s="25" t="s">
        <v>97</v>
      </c>
      <c r="H7" s="25" t="s">
        <v>120</v>
      </c>
      <c r="I7" s="25" t="s">
        <v>121</v>
      </c>
      <c r="J7" s="39" t="s">
        <v>122</v>
      </c>
      <c r="K7" s="39" t="s">
        <v>123</v>
      </c>
      <c r="L7" s="39" t="s">
        <v>124</v>
      </c>
      <c r="M7" s="39" t="s">
        <v>125</v>
      </c>
      <c r="N7" s="39" t="s">
        <v>126</v>
      </c>
      <c r="O7" s="39" t="s">
        <v>127</v>
      </c>
      <c r="P7" s="39" t="s">
        <v>128</v>
      </c>
      <c r="Q7" s="39" t="s">
        <v>129</v>
      </c>
      <c r="R7" s="39" t="s">
        <v>130</v>
      </c>
      <c r="S7" s="39" t="s">
        <v>131</v>
      </c>
    </row>
    <row r="8" ht="12.75" customHeight="1">
      <c r="B8" s="14">
        <v>1.1</v>
      </c>
      <c r="C8" s="14">
        <v>221.0</v>
      </c>
      <c r="D8" s="14"/>
      <c r="E8" s="14"/>
      <c r="F8" s="14"/>
      <c r="G8" s="31">
        <v>8.0</v>
      </c>
      <c r="H8" s="40">
        <f t="shared" ref="H8:H36" si="1">SUM(J8:S8)</f>
        <v>2</v>
      </c>
      <c r="I8" s="40">
        <f t="shared" ref="I8:I36" si="2">G8-H8</f>
        <v>6</v>
      </c>
      <c r="J8" s="31">
        <v>1.0</v>
      </c>
      <c r="K8" s="31"/>
      <c r="L8" s="31">
        <v>1.0</v>
      </c>
      <c r="M8" s="31"/>
      <c r="N8" s="31"/>
      <c r="O8" s="31"/>
      <c r="P8" s="31"/>
      <c r="Q8" s="31"/>
      <c r="R8" s="31"/>
      <c r="S8" s="31"/>
    </row>
    <row r="9" ht="12.75" customHeight="1">
      <c r="B9" s="14">
        <v>1.1</v>
      </c>
      <c r="C9" s="14">
        <v>224.0</v>
      </c>
      <c r="D9" s="14"/>
      <c r="E9" s="14"/>
      <c r="F9" s="14"/>
      <c r="G9" s="31">
        <v>2.0</v>
      </c>
      <c r="H9" s="40">
        <f t="shared" si="1"/>
        <v>1</v>
      </c>
      <c r="I9" s="40">
        <f t="shared" si="2"/>
        <v>1</v>
      </c>
      <c r="J9" s="31"/>
      <c r="K9" s="31">
        <v>1.0</v>
      </c>
      <c r="L9" s="31"/>
      <c r="M9" s="31"/>
      <c r="N9" s="31"/>
      <c r="O9" s="31"/>
      <c r="P9" s="31"/>
      <c r="Q9" s="31"/>
      <c r="R9" s="31"/>
      <c r="S9" s="31"/>
    </row>
    <row r="10" ht="12.75" customHeight="1">
      <c r="B10" s="14">
        <v>1.1</v>
      </c>
      <c r="C10" s="14">
        <v>225.0</v>
      </c>
      <c r="D10" s="14"/>
      <c r="E10" s="14"/>
      <c r="F10" s="14"/>
      <c r="G10" s="31">
        <v>5.0</v>
      </c>
      <c r="H10" s="40">
        <f t="shared" si="1"/>
        <v>5</v>
      </c>
      <c r="I10" s="40">
        <f t="shared" si="2"/>
        <v>0</v>
      </c>
      <c r="J10" s="31"/>
      <c r="K10" s="31">
        <v>1.0</v>
      </c>
      <c r="L10" s="31"/>
      <c r="M10" s="31">
        <v>2.0</v>
      </c>
      <c r="N10" s="31"/>
      <c r="O10" s="31">
        <v>1.0</v>
      </c>
      <c r="P10" s="31">
        <v>1.0</v>
      </c>
      <c r="Q10" s="31"/>
      <c r="R10" s="31"/>
      <c r="S10" s="31"/>
    </row>
    <row r="11" ht="12.75" customHeight="1">
      <c r="B11" s="14">
        <v>1.1</v>
      </c>
      <c r="C11" s="14">
        <v>229.0</v>
      </c>
      <c r="D11" s="14"/>
      <c r="E11" s="14"/>
      <c r="F11" s="14"/>
      <c r="G11" s="31">
        <v>3.0</v>
      </c>
      <c r="H11" s="40">
        <f t="shared" si="1"/>
        <v>3</v>
      </c>
      <c r="I11" s="40">
        <f t="shared" si="2"/>
        <v>0</v>
      </c>
      <c r="J11" s="31"/>
      <c r="K11" s="31"/>
      <c r="L11" s="31">
        <v>1.0</v>
      </c>
      <c r="M11" s="31"/>
      <c r="N11" s="31">
        <v>1.0</v>
      </c>
      <c r="O11" s="31"/>
      <c r="P11" s="31"/>
      <c r="Q11" s="31">
        <v>1.0</v>
      </c>
      <c r="R11" s="31"/>
      <c r="S11" s="31"/>
    </row>
    <row r="12" ht="12.75" customHeight="1">
      <c r="B12" s="14">
        <v>1.1</v>
      </c>
      <c r="C12" s="14">
        <v>251.0</v>
      </c>
      <c r="D12" s="14"/>
      <c r="E12" s="14"/>
      <c r="F12" s="14"/>
      <c r="G12" s="31">
        <v>13.0</v>
      </c>
      <c r="H12" s="40">
        <f t="shared" si="1"/>
        <v>13</v>
      </c>
      <c r="I12" s="40">
        <f t="shared" si="2"/>
        <v>0</v>
      </c>
      <c r="J12" s="31">
        <v>3.0</v>
      </c>
      <c r="K12" s="31">
        <v>2.0</v>
      </c>
      <c r="L12" s="31">
        <v>1.0</v>
      </c>
      <c r="M12" s="31">
        <v>1.0</v>
      </c>
      <c r="N12" s="31">
        <v>1.0</v>
      </c>
      <c r="O12" s="31">
        <v>1.0</v>
      </c>
      <c r="P12" s="31">
        <v>1.0</v>
      </c>
      <c r="Q12" s="31">
        <v>1.0</v>
      </c>
      <c r="R12" s="31">
        <v>1.0</v>
      </c>
      <c r="S12" s="31">
        <v>1.0</v>
      </c>
    </row>
    <row r="13" ht="12.75" customHeight="1">
      <c r="B13" s="14">
        <v>1.1</v>
      </c>
      <c r="C13" s="14">
        <v>253.0</v>
      </c>
      <c r="D13" s="14"/>
      <c r="E13" s="14"/>
      <c r="F13" s="14"/>
      <c r="G13" s="31">
        <v>1.0</v>
      </c>
      <c r="H13" s="40">
        <f t="shared" si="1"/>
        <v>1</v>
      </c>
      <c r="I13" s="40">
        <f t="shared" si="2"/>
        <v>0</v>
      </c>
      <c r="J13" s="31"/>
      <c r="K13" s="31"/>
      <c r="L13" s="31"/>
      <c r="M13" s="31"/>
      <c r="N13" s="31"/>
      <c r="O13" s="31"/>
      <c r="P13" s="31"/>
      <c r="Q13" s="31"/>
      <c r="R13" s="31"/>
      <c r="S13" s="31">
        <v>1.0</v>
      </c>
    </row>
    <row r="14" ht="12.75" customHeight="1">
      <c r="B14" s="14"/>
      <c r="C14" s="14"/>
      <c r="D14" s="14"/>
      <c r="E14" s="14"/>
      <c r="F14" s="14"/>
      <c r="G14" s="31"/>
      <c r="H14" s="40">
        <f t="shared" si="1"/>
        <v>0</v>
      </c>
      <c r="I14" s="40">
        <f t="shared" si="2"/>
        <v>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ht="12.75" customHeight="1">
      <c r="B15" s="14"/>
      <c r="C15" s="14"/>
      <c r="D15" s="14"/>
      <c r="E15" s="14"/>
      <c r="F15" s="14"/>
      <c r="G15" s="31"/>
      <c r="H15" s="40">
        <f t="shared" si="1"/>
        <v>0</v>
      </c>
      <c r="I15" s="40">
        <f t="shared" si="2"/>
        <v>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ht="12.75" customHeight="1">
      <c r="B16" s="14"/>
      <c r="C16" s="14"/>
      <c r="D16" s="14"/>
      <c r="E16" s="14"/>
      <c r="F16" s="14"/>
      <c r="G16" s="31"/>
      <c r="H16" s="40">
        <f t="shared" si="1"/>
        <v>0</v>
      </c>
      <c r="I16" s="40">
        <f t="shared" si="2"/>
        <v>0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</row>
    <row r="17" ht="12.75" customHeight="1">
      <c r="B17" s="14"/>
      <c r="C17" s="14"/>
      <c r="D17" s="14"/>
      <c r="E17" s="14"/>
      <c r="F17" s="14"/>
      <c r="G17" s="31"/>
      <c r="H17" s="40">
        <f t="shared" si="1"/>
        <v>0</v>
      </c>
      <c r="I17" s="40">
        <f t="shared" si="2"/>
        <v>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ht="12.75" customHeight="1">
      <c r="B18" s="14"/>
      <c r="C18" s="14"/>
      <c r="D18" s="14"/>
      <c r="E18" s="14"/>
      <c r="F18" s="14"/>
      <c r="G18" s="31"/>
      <c r="H18" s="40">
        <f t="shared" si="1"/>
        <v>0</v>
      </c>
      <c r="I18" s="40">
        <f t="shared" si="2"/>
        <v>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ht="12.75" customHeight="1">
      <c r="B19" s="14"/>
      <c r="C19" s="14"/>
      <c r="D19" s="14"/>
      <c r="E19" s="14"/>
      <c r="F19" s="14"/>
      <c r="G19" s="31"/>
      <c r="H19" s="40">
        <f t="shared" si="1"/>
        <v>0</v>
      </c>
      <c r="I19" s="40">
        <f t="shared" si="2"/>
        <v>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ht="12.75" customHeight="1">
      <c r="B20" s="14"/>
      <c r="C20" s="14"/>
      <c r="D20" s="14"/>
      <c r="E20" s="14"/>
      <c r="F20" s="14"/>
      <c r="G20" s="31"/>
      <c r="H20" s="40">
        <f t="shared" si="1"/>
        <v>0</v>
      </c>
      <c r="I20" s="40">
        <f t="shared" si="2"/>
        <v>0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ht="12.75" customHeight="1">
      <c r="B21" s="14"/>
      <c r="C21" s="14"/>
      <c r="D21" s="14"/>
      <c r="E21" s="14"/>
      <c r="F21" s="14"/>
      <c r="G21" s="31"/>
      <c r="H21" s="40">
        <f t="shared" si="1"/>
        <v>0</v>
      </c>
      <c r="I21" s="40">
        <f t="shared" si="2"/>
        <v>0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ht="12.75" customHeight="1">
      <c r="B22" s="14"/>
      <c r="C22" s="14"/>
      <c r="D22" s="14"/>
      <c r="E22" s="14"/>
      <c r="F22" s="14"/>
      <c r="G22" s="31"/>
      <c r="H22" s="40">
        <f t="shared" si="1"/>
        <v>0</v>
      </c>
      <c r="I22" s="40">
        <f t="shared" si="2"/>
        <v>0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</row>
    <row r="23" ht="12.75" customHeight="1">
      <c r="B23" s="14"/>
      <c r="C23" s="14"/>
      <c r="D23" s="14"/>
      <c r="E23" s="14"/>
      <c r="F23" s="14"/>
      <c r="G23" s="31"/>
      <c r="H23" s="40">
        <f t="shared" si="1"/>
        <v>0</v>
      </c>
      <c r="I23" s="40">
        <f t="shared" si="2"/>
        <v>0</v>
      </c>
      <c r="J23" s="31"/>
      <c r="K23" s="31"/>
      <c r="L23" s="31"/>
      <c r="M23" s="31"/>
      <c r="N23" s="31"/>
      <c r="O23" s="31"/>
      <c r="P23" s="31"/>
      <c r="Q23" s="31"/>
      <c r="R23" s="31"/>
      <c r="S23" s="31"/>
    </row>
    <row r="24" ht="12.75" customHeight="1">
      <c r="B24" s="14"/>
      <c r="C24" s="14"/>
      <c r="D24" s="14"/>
      <c r="E24" s="14"/>
      <c r="F24" s="14"/>
      <c r="G24" s="31"/>
      <c r="H24" s="40">
        <f t="shared" si="1"/>
        <v>0</v>
      </c>
      <c r="I24" s="40">
        <f t="shared" si="2"/>
        <v>0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</row>
    <row r="25" ht="12.75" customHeight="1">
      <c r="B25" s="14"/>
      <c r="C25" s="14"/>
      <c r="D25" s="14"/>
      <c r="E25" s="14"/>
      <c r="F25" s="14"/>
      <c r="G25" s="31"/>
      <c r="H25" s="40">
        <f t="shared" si="1"/>
        <v>0</v>
      </c>
      <c r="I25" s="40">
        <f t="shared" si="2"/>
        <v>0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ht="12.75" customHeight="1">
      <c r="B26" s="14"/>
      <c r="C26" s="14"/>
      <c r="D26" s="14"/>
      <c r="E26" s="14"/>
      <c r="F26" s="14"/>
      <c r="G26" s="31"/>
      <c r="H26" s="40">
        <f t="shared" si="1"/>
        <v>0</v>
      </c>
      <c r="I26" s="40">
        <f t="shared" si="2"/>
        <v>0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</row>
    <row r="27" ht="12.75" customHeight="1">
      <c r="B27" s="14"/>
      <c r="C27" s="14"/>
      <c r="D27" s="14"/>
      <c r="E27" s="14"/>
      <c r="F27" s="14"/>
      <c r="G27" s="31"/>
      <c r="H27" s="40">
        <f t="shared" si="1"/>
        <v>0</v>
      </c>
      <c r="I27" s="40">
        <f t="shared" si="2"/>
        <v>0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ht="12.75" customHeight="1">
      <c r="B28" s="14"/>
      <c r="C28" s="14"/>
      <c r="D28" s="14"/>
      <c r="E28" s="14"/>
      <c r="F28" s="14"/>
      <c r="G28" s="31"/>
      <c r="H28" s="40">
        <f t="shared" si="1"/>
        <v>0</v>
      </c>
      <c r="I28" s="40">
        <f t="shared" si="2"/>
        <v>0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</row>
    <row r="29" ht="12.75" customHeight="1">
      <c r="B29" s="14"/>
      <c r="C29" s="14"/>
      <c r="D29" s="14"/>
      <c r="E29" s="14"/>
      <c r="F29" s="14"/>
      <c r="G29" s="31"/>
      <c r="H29" s="40">
        <f t="shared" si="1"/>
        <v>0</v>
      </c>
      <c r="I29" s="40">
        <f t="shared" si="2"/>
        <v>0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ht="12.75" customHeight="1">
      <c r="B30" s="14"/>
      <c r="C30" s="14"/>
      <c r="D30" s="14"/>
      <c r="E30" s="14"/>
      <c r="F30" s="14"/>
      <c r="G30" s="31"/>
      <c r="H30" s="40">
        <f t="shared" si="1"/>
        <v>0</v>
      </c>
      <c r="I30" s="40">
        <f t="shared" si="2"/>
        <v>0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ht="12.75" customHeight="1">
      <c r="B31" s="14"/>
      <c r="C31" s="14"/>
      <c r="D31" s="14"/>
      <c r="E31" s="14"/>
      <c r="F31" s="14"/>
      <c r="G31" s="31"/>
      <c r="H31" s="40">
        <f t="shared" si="1"/>
        <v>0</v>
      </c>
      <c r="I31" s="40">
        <f t="shared" si="2"/>
        <v>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ht="12.75" customHeight="1">
      <c r="B32" s="14"/>
      <c r="C32" s="14"/>
      <c r="D32" s="14"/>
      <c r="E32" s="14"/>
      <c r="F32" s="14"/>
      <c r="G32" s="31"/>
      <c r="H32" s="40">
        <f t="shared" si="1"/>
        <v>0</v>
      </c>
      <c r="I32" s="40">
        <f t="shared" si="2"/>
        <v>0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</row>
    <row r="33" ht="12.75" customHeight="1">
      <c r="B33" s="14"/>
      <c r="C33" s="14"/>
      <c r="D33" s="14"/>
      <c r="E33" s="14"/>
      <c r="F33" s="14"/>
      <c r="G33" s="31"/>
      <c r="H33" s="40">
        <f t="shared" si="1"/>
        <v>0</v>
      </c>
      <c r="I33" s="40">
        <f t="shared" si="2"/>
        <v>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ht="12.75" customHeight="1">
      <c r="B34" s="14"/>
      <c r="C34" s="14"/>
      <c r="D34" s="14"/>
      <c r="E34" s="14"/>
      <c r="F34" s="14"/>
      <c r="G34" s="31"/>
      <c r="H34" s="40">
        <f t="shared" si="1"/>
        <v>0</v>
      </c>
      <c r="I34" s="40">
        <f t="shared" si="2"/>
        <v>0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</row>
    <row r="35" ht="12.75" customHeight="1">
      <c r="B35" s="14"/>
      <c r="C35" s="14"/>
      <c r="D35" s="14"/>
      <c r="E35" s="14"/>
      <c r="F35" s="14"/>
      <c r="G35" s="31"/>
      <c r="H35" s="40">
        <f t="shared" si="1"/>
        <v>0</v>
      </c>
      <c r="I35" s="40">
        <f t="shared" si="2"/>
        <v>0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ht="12.75" customHeight="1">
      <c r="B36" s="14"/>
      <c r="C36" s="14"/>
      <c r="D36" s="14"/>
      <c r="E36" s="14"/>
      <c r="F36" s="14"/>
      <c r="G36" s="31"/>
      <c r="H36" s="40">
        <f t="shared" si="1"/>
        <v>0</v>
      </c>
      <c r="I36" s="40">
        <f t="shared" si="2"/>
        <v>0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</row>
    <row r="37" ht="12.75" customHeight="1">
      <c r="B37" s="41"/>
      <c r="C37" s="41"/>
      <c r="D37" s="41"/>
      <c r="E37" s="41"/>
      <c r="F37" s="42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</row>
    <row r="38" ht="12.75" customHeight="1">
      <c r="B38" s="43"/>
      <c r="C38" s="43"/>
      <c r="D38" s="43"/>
      <c r="E38" s="43"/>
      <c r="F38" s="44" t="s">
        <v>132</v>
      </c>
      <c r="G38" s="45">
        <f t="shared" ref="G38:S38" si="3">SUBTOTAL(9,G7:G35)</f>
        <v>32</v>
      </c>
      <c r="H38" s="45">
        <f t="shared" si="3"/>
        <v>25</v>
      </c>
      <c r="I38" s="45">
        <f t="shared" si="3"/>
        <v>7</v>
      </c>
      <c r="J38" s="45">
        <f t="shared" si="3"/>
        <v>4</v>
      </c>
      <c r="K38" s="45">
        <f t="shared" si="3"/>
        <v>4</v>
      </c>
      <c r="L38" s="45">
        <f t="shared" si="3"/>
        <v>3</v>
      </c>
      <c r="M38" s="45">
        <f t="shared" si="3"/>
        <v>3</v>
      </c>
      <c r="N38" s="45">
        <f t="shared" si="3"/>
        <v>2</v>
      </c>
      <c r="O38" s="45">
        <f t="shared" si="3"/>
        <v>2</v>
      </c>
      <c r="P38" s="45">
        <f t="shared" si="3"/>
        <v>2</v>
      </c>
      <c r="Q38" s="45">
        <f t="shared" si="3"/>
        <v>2</v>
      </c>
      <c r="R38" s="45">
        <f t="shared" si="3"/>
        <v>1</v>
      </c>
      <c r="S38" s="45">
        <f t="shared" si="3"/>
        <v>2</v>
      </c>
    </row>
    <row r="39" ht="12.75" customHeight="1">
      <c r="B39" s="43"/>
      <c r="C39" s="43"/>
      <c r="D39" s="43"/>
      <c r="E39" s="43"/>
      <c r="F39" s="44" t="s">
        <v>133</v>
      </c>
      <c r="G39" s="45"/>
      <c r="H39" s="45"/>
      <c r="I39" s="45"/>
      <c r="J39" s="45">
        <f>G38-J38</f>
        <v>28</v>
      </c>
      <c r="K39" s="45">
        <f t="shared" ref="K39:S39" si="4">J39-K38</f>
        <v>24</v>
      </c>
      <c r="L39" s="45">
        <f t="shared" si="4"/>
        <v>21</v>
      </c>
      <c r="M39" s="45">
        <f t="shared" si="4"/>
        <v>18</v>
      </c>
      <c r="N39" s="45">
        <f t="shared" si="4"/>
        <v>16</v>
      </c>
      <c r="O39" s="45">
        <f t="shared" si="4"/>
        <v>14</v>
      </c>
      <c r="P39" s="45">
        <f t="shared" si="4"/>
        <v>12</v>
      </c>
      <c r="Q39" s="45">
        <f t="shared" si="4"/>
        <v>10</v>
      </c>
      <c r="R39" s="45">
        <f t="shared" si="4"/>
        <v>9</v>
      </c>
      <c r="S39" s="45">
        <f t="shared" si="4"/>
        <v>7</v>
      </c>
    </row>
    <row r="40" ht="12.75" customHeight="1">
      <c r="B40" s="43"/>
      <c r="C40" s="43"/>
      <c r="D40" s="43"/>
      <c r="E40" s="43"/>
      <c r="F40" s="44" t="s">
        <v>134</v>
      </c>
      <c r="G40" s="45"/>
      <c r="H40" s="45"/>
      <c r="I40" s="45"/>
      <c r="J40" s="45">
        <f>J38</f>
        <v>4</v>
      </c>
      <c r="K40" s="45">
        <f t="shared" ref="K40:S40" si="5">J40+K38</f>
        <v>8</v>
      </c>
      <c r="L40" s="45">
        <f t="shared" si="5"/>
        <v>11</v>
      </c>
      <c r="M40" s="45">
        <f t="shared" si="5"/>
        <v>14</v>
      </c>
      <c r="N40" s="45">
        <f t="shared" si="5"/>
        <v>16</v>
      </c>
      <c r="O40" s="45">
        <f t="shared" si="5"/>
        <v>18</v>
      </c>
      <c r="P40" s="45">
        <f t="shared" si="5"/>
        <v>20</v>
      </c>
      <c r="Q40" s="45">
        <f t="shared" si="5"/>
        <v>22</v>
      </c>
      <c r="R40" s="45">
        <f t="shared" si="5"/>
        <v>23</v>
      </c>
      <c r="S40" s="45">
        <f t="shared" si="5"/>
        <v>25</v>
      </c>
    </row>
    <row r="41" ht="12.75" customHeight="1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7:$S$7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6" width="8.71"/>
  </cols>
  <sheetData>
    <row r="1" ht="12.75" customHeight="1"/>
    <row r="2" ht="12.75" customHeight="1"/>
    <row r="3" ht="12.75" customHeight="1"/>
    <row r="4" ht="12.75" customHeight="1"/>
    <row r="5" ht="12.75" customHeight="1">
      <c r="B5" s="2" t="s">
        <v>135</v>
      </c>
    </row>
    <row r="6" ht="12.75" customHeight="1"/>
    <row r="7" ht="12.75" customHeight="1">
      <c r="B7" s="46" t="s">
        <v>136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>
      <c r="B30" s="46" t="s">
        <v>137</v>
      </c>
      <c r="K30" s="46" t="s">
        <v>138</v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21.71"/>
    <col customWidth="1" min="3" max="3" width="54.0"/>
    <col customWidth="1" min="4" max="4" width="8.71"/>
    <col customWidth="1" min="5" max="5" width="34.57"/>
    <col customWidth="1" min="6" max="6" width="53.29"/>
    <col customWidth="1" min="7" max="26" width="8.71"/>
  </cols>
  <sheetData>
    <row r="1" ht="12.75" customHeight="1"/>
    <row r="2" ht="12.75" customHeight="1"/>
    <row r="3" ht="12.75" customHeight="1"/>
    <row r="4" ht="12.75" customHeight="1"/>
    <row r="5" ht="12.75" customHeight="1">
      <c r="B5" s="2" t="s">
        <v>139</v>
      </c>
    </row>
    <row r="6" ht="12.75" customHeight="1"/>
    <row r="7" ht="12.75" customHeight="1">
      <c r="B7" s="22" t="s">
        <v>140</v>
      </c>
      <c r="E7" s="22" t="s">
        <v>141</v>
      </c>
    </row>
    <row r="8" ht="12.75" customHeight="1">
      <c r="B8" s="47" t="s">
        <v>119</v>
      </c>
      <c r="C8" s="47" t="s">
        <v>142</v>
      </c>
      <c r="E8" s="47" t="s">
        <v>119</v>
      </c>
      <c r="F8" s="47" t="s">
        <v>142</v>
      </c>
    </row>
    <row r="9" ht="12.75" customHeight="1">
      <c r="B9" s="37" t="s">
        <v>143</v>
      </c>
      <c r="C9" s="48" t="s">
        <v>144</v>
      </c>
      <c r="E9" s="37"/>
      <c r="F9" s="48"/>
    </row>
    <row r="10" ht="12.75" customHeight="1">
      <c r="B10" s="37"/>
      <c r="C10" s="37"/>
      <c r="E10" s="37"/>
      <c r="F10" s="37"/>
    </row>
    <row r="11" ht="12.75" customHeight="1">
      <c r="B11" s="37"/>
      <c r="C11" s="37"/>
      <c r="E11" s="37"/>
      <c r="F11" s="37"/>
    </row>
    <row r="12" ht="12.75" customHeight="1">
      <c r="B12" s="37"/>
      <c r="C12" s="37"/>
      <c r="E12" s="37"/>
      <c r="F12" s="37"/>
    </row>
    <row r="13" ht="12.75" customHeight="1">
      <c r="B13" s="37"/>
      <c r="C13" s="37"/>
      <c r="E13" s="37"/>
      <c r="F13" s="37"/>
    </row>
    <row r="14" ht="12.75" customHeight="1">
      <c r="B14" s="37"/>
      <c r="C14" s="37"/>
      <c r="E14" s="37"/>
      <c r="F14" s="37"/>
    </row>
    <row r="15" ht="12.75" customHeight="1">
      <c r="B15" s="37"/>
      <c r="C15" s="37"/>
      <c r="E15" s="37"/>
      <c r="F15" s="37"/>
    </row>
    <row r="16" ht="12.75" customHeight="1">
      <c r="B16" s="37"/>
      <c r="C16" s="37"/>
      <c r="E16" s="37"/>
      <c r="F16" s="37"/>
    </row>
    <row r="17" ht="12.75" customHeight="1">
      <c r="B17" s="37"/>
      <c r="C17" s="37"/>
      <c r="E17" s="37"/>
      <c r="F17" s="37"/>
    </row>
    <row r="18" ht="12.75" customHeight="1">
      <c r="B18" s="37"/>
      <c r="C18" s="37"/>
      <c r="E18" s="37"/>
      <c r="F18" s="37"/>
    </row>
    <row r="19" ht="12.75" customHeight="1">
      <c r="B19" s="37"/>
      <c r="C19" s="37"/>
      <c r="E19" s="37"/>
      <c r="F19" s="37"/>
    </row>
    <row r="20" ht="12.75" customHeight="1">
      <c r="B20" s="37"/>
      <c r="C20" s="37"/>
      <c r="E20" s="37"/>
      <c r="F20" s="37"/>
    </row>
    <row r="21" ht="12.75" customHeight="1">
      <c r="B21" s="37"/>
      <c r="C21" s="37"/>
      <c r="E21" s="37"/>
      <c r="F21" s="37"/>
    </row>
    <row r="22" ht="12.75" customHeight="1">
      <c r="B22" s="37"/>
      <c r="C22" s="37"/>
      <c r="E22" s="37"/>
      <c r="F22" s="37"/>
    </row>
    <row r="23" ht="12.75" customHeight="1">
      <c r="B23" s="37"/>
      <c r="C23" s="37"/>
      <c r="E23" s="37"/>
      <c r="F23" s="37"/>
    </row>
    <row r="24" ht="12.75" customHeight="1">
      <c r="B24" s="37"/>
      <c r="C24" s="37"/>
      <c r="E24" s="37"/>
      <c r="F24" s="37"/>
    </row>
    <row r="25" ht="12.75" customHeight="1">
      <c r="B25" s="37"/>
      <c r="C25" s="37"/>
      <c r="E25" s="37"/>
      <c r="F25" s="37"/>
    </row>
    <row r="26" ht="12.75" customHeight="1">
      <c r="B26" s="32"/>
      <c r="C26" s="32"/>
      <c r="E26" s="32"/>
      <c r="F26" s="32"/>
    </row>
    <row r="27" ht="12.75" customHeight="1">
      <c r="B27" s="14"/>
      <c r="C27" s="14"/>
      <c r="E27" s="14"/>
      <c r="F27" s="14"/>
    </row>
    <row r="28" ht="12.75" customHeight="1">
      <c r="B28" s="14"/>
      <c r="C28" s="14"/>
      <c r="E28" s="14"/>
      <c r="F28" s="14"/>
    </row>
    <row r="29" ht="12.75" customHeight="1">
      <c r="B29" s="14"/>
      <c r="C29" s="14"/>
      <c r="E29" s="14"/>
      <c r="F29" s="14"/>
    </row>
    <row r="30" ht="12.75" customHeight="1">
      <c r="B30" s="14"/>
      <c r="C30" s="14"/>
      <c r="E30" s="14"/>
      <c r="F30" s="14"/>
    </row>
    <row r="31" ht="12.75" customHeight="1">
      <c r="B31" s="14"/>
      <c r="C31" s="14"/>
      <c r="E31" s="14"/>
      <c r="F31" s="14"/>
    </row>
    <row r="32" ht="12.75" customHeight="1">
      <c r="B32" s="14"/>
      <c r="C32" s="14"/>
      <c r="E32" s="14"/>
      <c r="F32" s="1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C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2018-12-26T04:30:06Z</dcterms:created>
  <dc:creator>Prashanth Krishnamurthy</dc:creator>
</cp:coreProperties>
</file>