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"/>
    </mc:Choice>
  </mc:AlternateContent>
  <xr:revisionPtr revIDLastSave="0" documentId="13_ncr:1_{D16805F8-72C7-4DC5-BD38-A1DFCDD16A1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Hoj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2" l="1"/>
  <c r="R3" i="2"/>
  <c r="R2" i="2"/>
  <c r="Q14" i="2"/>
  <c r="D15" i="2"/>
  <c r="C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O14" i="2"/>
  <c r="N14" i="2"/>
  <c r="D14" i="2"/>
  <c r="C14" i="2"/>
  <c r="B17" i="2"/>
  <c r="B16" i="2"/>
  <c r="C16" i="2" s="1"/>
  <c r="R4" i="2"/>
  <c r="R5" i="2"/>
  <c r="R6" i="2"/>
  <c r="E14" i="2"/>
  <c r="F14" i="2"/>
  <c r="G14" i="2"/>
  <c r="H14" i="2"/>
  <c r="I14" i="2"/>
  <c r="K14" i="2"/>
  <c r="L14" i="2"/>
  <c r="M14" i="2"/>
  <c r="P14" i="2"/>
  <c r="C17" i="2" l="1"/>
  <c r="D16" i="2"/>
  <c r="D17" i="2"/>
  <c r="E17" i="2" s="1"/>
  <c r="F17" i="2" s="1"/>
  <c r="G17" i="2" s="1"/>
  <c r="H17" i="2" s="1"/>
  <c r="I17" i="2" s="1"/>
  <c r="J17" i="2" s="1"/>
  <c r="K17" i="2" s="1"/>
  <c r="L17" i="2" s="1"/>
  <c r="M17" i="2" s="1"/>
  <c r="N17" i="2" s="1"/>
  <c r="O17" i="2" s="1"/>
  <c r="P17" i="2" s="1"/>
  <c r="Q17" i="2" s="1"/>
  <c r="E16" i="2" l="1"/>
  <c r="F16" i="2" s="1"/>
  <c r="G16" i="2" s="1"/>
  <c r="H16" i="2" s="1"/>
  <c r="I16" i="2" s="1"/>
  <c r="J16" i="2" s="1"/>
  <c r="K16" i="2" s="1"/>
  <c r="L16" i="2" s="1"/>
  <c r="M16" i="2" s="1"/>
  <c r="N16" i="2" s="1"/>
  <c r="O16" i="2" s="1"/>
  <c r="P16" i="2" s="1"/>
  <c r="Q16" i="2" s="1"/>
</calcChain>
</file>

<file path=xl/sharedStrings.xml><?xml version="1.0" encoding="utf-8"?>
<sst xmlns="http://schemas.openxmlformats.org/spreadsheetml/2006/main" count="44" uniqueCount="44">
  <si>
    <t>Initial Estimate</t>
  </si>
  <si>
    <t>Remaining Effort</t>
  </si>
  <si>
    <t>Week 1</t>
  </si>
  <si>
    <t>Week 2</t>
  </si>
  <si>
    <t>Week 3</t>
  </si>
  <si>
    <t>Week 4</t>
  </si>
  <si>
    <t>Week 5</t>
  </si>
  <si>
    <t>Hours Left</t>
  </si>
  <si>
    <t>Planned Hours</t>
  </si>
  <si>
    <t>Week 6</t>
  </si>
  <si>
    <t>Week 7</t>
  </si>
  <si>
    <t>Week 8</t>
  </si>
  <si>
    <t>Ideal Burndown</t>
  </si>
  <si>
    <t>Start</t>
  </si>
  <si>
    <t>Feature</t>
  </si>
  <si>
    <t>Actual Hours</t>
  </si>
  <si>
    <t>Settting</t>
  </si>
  <si>
    <t>Week 9</t>
  </si>
  <si>
    <t>Week 10</t>
  </si>
  <si>
    <t>Week 11</t>
  </si>
  <si>
    <t>Week 12</t>
  </si>
  <si>
    <t>Week 13</t>
  </si>
  <si>
    <t>Week 14</t>
  </si>
  <si>
    <t>Week 15</t>
  </si>
  <si>
    <t>Filtrado y comparación de matrículas</t>
  </si>
  <si>
    <t>Filtro geográfico</t>
  </si>
  <si>
    <t>Historial de visitas a colegios</t>
  </si>
  <si>
    <t>Registro de visitas</t>
  </si>
  <si>
    <t>Logs de seguridad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</si>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</sst>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3" borderId="4" xfId="0" applyFill="1" applyBorder="1"/>
    <xf numFmtId="0" fontId="0" fillId="0" borderId="3" xfId="0" applyBorder="1"/>
    <xf numFmtId="0" fontId="0" fillId="0" borderId="4" xfId="0" applyBorder="1"/>
    <xf numFmtId="0" fontId="2" fillId="2" borderId="5" xfId="0" applyFont="1" applyFill="1" applyBorder="1"/>
    <xf numFmtId="0" fontId="0" fillId="3" borderId="5" xfId="0" applyFill="1" applyBorder="1"/>
    <xf numFmtId="0" fontId="0" fillId="0" borderId="5" xfId="0" applyBorder="1"/>
    <xf numFmtId="0" fontId="1" fillId="2" borderId="4" xfId="0" applyFont="1" applyFill="1" applyBorder="1"/>
    <xf numFmtId="0" fontId="3" fillId="3" borderId="3" xfId="0" applyFont="1" applyFill="1" applyBorder="1"/>
    <xf numFmtId="0" fontId="3" fillId="0" borderId="3" xfId="0" applyFont="1" applyBorder="1"/>
    <xf numFmtId="0" fontId="3" fillId="0" borderId="1" xfId="0" applyFont="1" applyBorder="1"/>
    <xf numFmtId="0" fontId="0" fillId="3" borderId="3" xfId="0" applyFill="1" applyBorder="1" applyAlignment="1">
      <alignment wrapText="1"/>
    </xf>
    <xf numFmtId="0" fontId="5" fillId="0" borderId="0" xfId="0" applyFont="1" applyAlignment="1">
      <alignment wrapText="1"/>
    </xf>
    <xf numFmtId="0" fontId="5" fillId="4" borderId="0" xfId="0" applyFont="1" applyFill="1" applyAlignment="1">
      <alignment wrapText="1"/>
    </xf>
    <xf numFmtId="0" fontId="0" fillId="4" borderId="4" xfId="0" applyFill="1" applyBorder="1"/>
    <xf numFmtId="0" fontId="0" fillId="4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Admission Analytics Sprint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Sheet1!$A$14</c:f>
              <c:strCache>
                <c:ptCount val="1"/>
                <c:pt idx="0">
                  <c:v>Planned Hours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Sheet1!$B$13:$Q$13</c:f>
              <c:strCache>
                <c:ptCount val="16"/>
                <c:pt idx="0">
                  <c:v>Start</c:v>
                </c:pt>
                <c:pt idx="1">
                  <c:v>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Día 6</c:v>
                </c:pt>
                <c:pt idx="7">
                  <c:v>Día 7</c:v>
                </c:pt>
                <c:pt idx="8">
                  <c:v>Día 8</c:v>
                </c:pt>
                <c:pt idx="9">
                  <c:v>Día 9</c:v>
                </c:pt>
                <c:pt idx="10">
                  <c:v>Día 10</c:v>
                </c:pt>
                <c:pt idx="11">
                  <c:v>Día 11</c:v>
                </c:pt>
                <c:pt idx="12">
                  <c:v>Día 12</c:v>
                </c:pt>
                <c:pt idx="13">
                  <c:v>Día 13</c:v>
                </c:pt>
                <c:pt idx="14">
                  <c:v>Día 14</c:v>
                </c:pt>
                <c:pt idx="15">
                  <c:v>Día 15</c:v>
                </c:pt>
              </c:strCache>
            </c:strRef>
          </c:cat>
          <c:val>
            <c:numRef>
              <c:f>Sheet1!$B$14:$Q$14</c:f>
              <c:numCache>
                <c:formatCode>General</c:formatCode>
                <c:ptCount val="16"/>
                <c:pt idx="1">
                  <c:v>4.8666666666666663</c:v>
                </c:pt>
                <c:pt idx="2">
                  <c:v>4.8666666666666663</c:v>
                </c:pt>
                <c:pt idx="3">
                  <c:v>4.8666666666666663</c:v>
                </c:pt>
                <c:pt idx="4">
                  <c:v>4.8666666666666663</c:v>
                </c:pt>
                <c:pt idx="5">
                  <c:v>4.8666666666666663</c:v>
                </c:pt>
                <c:pt idx="6">
                  <c:v>4.8666666666666663</c:v>
                </c:pt>
                <c:pt idx="7">
                  <c:v>4.8666666666666663</c:v>
                </c:pt>
                <c:pt idx="8">
                  <c:v>4.8666666666666663</c:v>
                </c:pt>
                <c:pt idx="9">
                  <c:v>4.8666666666666663</c:v>
                </c:pt>
                <c:pt idx="10">
                  <c:v>4.8666666666666663</c:v>
                </c:pt>
                <c:pt idx="11">
                  <c:v>4.8666666666666663</c:v>
                </c:pt>
                <c:pt idx="12">
                  <c:v>4.8666666666666663</c:v>
                </c:pt>
                <c:pt idx="13">
                  <c:v>4.8666666666666663</c:v>
                </c:pt>
                <c:pt idx="14">
                  <c:v>4.8666666666666663</c:v>
                </c:pt>
                <c:pt idx="15">
                  <c:v>4.8666666666666663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6-4A77-8A6F-6A13FF6BDBD1}"/>
            </c:ext>
          </c:extLst>
        </c:ser>
        <c:ser>
          <c:idx val="1"/>
          <c:order val="1"/>
          <c:tx>
            <c:strRef>
              <c:f>Sheet1!$A$15</c:f>
              <c:strCache>
                <c:ptCount val="1"/>
                <c:pt idx="0">
                  <c:v>Actual Hours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Sheet1!$B$13:$Q$13</c:f>
              <c:strCache>
                <c:ptCount val="16"/>
                <c:pt idx="0">
                  <c:v>Start</c:v>
                </c:pt>
                <c:pt idx="1">
                  <c:v>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Día 6</c:v>
                </c:pt>
                <c:pt idx="7">
                  <c:v>Día 7</c:v>
                </c:pt>
                <c:pt idx="8">
                  <c:v>Día 8</c:v>
                </c:pt>
                <c:pt idx="9">
                  <c:v>Día 9</c:v>
                </c:pt>
                <c:pt idx="10">
                  <c:v>Día 10</c:v>
                </c:pt>
                <c:pt idx="11">
                  <c:v>Día 11</c:v>
                </c:pt>
                <c:pt idx="12">
                  <c:v>Día 12</c:v>
                </c:pt>
                <c:pt idx="13">
                  <c:v>Día 13</c:v>
                </c:pt>
                <c:pt idx="14">
                  <c:v>Día 14</c:v>
                </c:pt>
                <c:pt idx="15">
                  <c:v>Día 15</c:v>
                </c:pt>
              </c:strCache>
            </c:strRef>
          </c:cat>
          <c:val>
            <c:numRef>
              <c:f>Sheet1!$B$15:$Q$15</c:f>
              <c:numCache>
                <c:formatCode>General</c:formatCode>
                <c:ptCount val="16"/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13</c:v>
                </c:pt>
                <c:pt idx="6">
                  <c:v>9</c:v>
                </c:pt>
                <c:pt idx="7">
                  <c:v>6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2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A6-4A77-8A6F-6A13FF6BD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231920"/>
        <c:axId val="69524128"/>
      </c:barChart>
      <c:lineChart>
        <c:grouping val="standard"/>
        <c:varyColors val="0"/>
        <c:ser>
          <c:idx val="2"/>
          <c:order val="2"/>
          <c:tx>
            <c:strRef>
              <c:f>Sheet1!$A$16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Sheet1!$B$13:$Q$13</c:f>
              <c:strCache>
                <c:ptCount val="16"/>
                <c:pt idx="0">
                  <c:v>Start</c:v>
                </c:pt>
                <c:pt idx="1">
                  <c:v>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Día 6</c:v>
                </c:pt>
                <c:pt idx="7">
                  <c:v>Día 7</c:v>
                </c:pt>
                <c:pt idx="8">
                  <c:v>Día 8</c:v>
                </c:pt>
                <c:pt idx="9">
                  <c:v>Día 9</c:v>
                </c:pt>
                <c:pt idx="10">
                  <c:v>Día 10</c:v>
                </c:pt>
                <c:pt idx="11">
                  <c:v>Día 11</c:v>
                </c:pt>
                <c:pt idx="12">
                  <c:v>Día 12</c:v>
                </c:pt>
                <c:pt idx="13">
                  <c:v>Día 13</c:v>
                </c:pt>
                <c:pt idx="14">
                  <c:v>Día 14</c:v>
                </c:pt>
                <c:pt idx="15">
                  <c:v>Día 15</c:v>
                </c:pt>
              </c:strCache>
            </c:strRef>
          </c:cat>
          <c:val>
            <c:numRef>
              <c:f>Sheet1!$B$16:$Q$16</c:f>
              <c:numCache>
                <c:formatCode>General</c:formatCode>
                <c:ptCount val="16"/>
                <c:pt idx="0">
                  <c:v>73</c:v>
                </c:pt>
                <c:pt idx="1">
                  <c:v>73</c:v>
                </c:pt>
                <c:pt idx="2">
                  <c:v>71</c:v>
                </c:pt>
                <c:pt idx="3">
                  <c:v>69</c:v>
                </c:pt>
                <c:pt idx="4">
                  <c:v>64</c:v>
                </c:pt>
                <c:pt idx="5">
                  <c:v>51</c:v>
                </c:pt>
                <c:pt idx="6">
                  <c:v>42</c:v>
                </c:pt>
                <c:pt idx="7">
                  <c:v>36</c:v>
                </c:pt>
                <c:pt idx="8">
                  <c:v>26</c:v>
                </c:pt>
                <c:pt idx="9">
                  <c:v>16</c:v>
                </c:pt>
                <c:pt idx="10">
                  <c:v>16</c:v>
                </c:pt>
                <c:pt idx="11">
                  <c:v>14</c:v>
                </c:pt>
                <c:pt idx="12">
                  <c:v>10</c:v>
                </c:pt>
                <c:pt idx="13">
                  <c:v>6</c:v>
                </c:pt>
                <c:pt idx="14">
                  <c:v>3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A6-4A77-8A6F-6A13FF6BDBD1}"/>
            </c:ext>
          </c:extLst>
        </c:ser>
        <c:ser>
          <c:idx val="3"/>
          <c:order val="3"/>
          <c:tx>
            <c:strRef>
              <c:f>Sheet1!$A$17</c:f>
              <c:strCache>
                <c:ptCount val="1"/>
                <c:pt idx="0">
                  <c:v>Ideal Burndown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Sheet1!$B$13:$Q$13</c:f>
              <c:strCache>
                <c:ptCount val="16"/>
                <c:pt idx="0">
                  <c:v>Start</c:v>
                </c:pt>
                <c:pt idx="1">
                  <c:v>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Día 6</c:v>
                </c:pt>
                <c:pt idx="7">
                  <c:v>Día 7</c:v>
                </c:pt>
                <c:pt idx="8">
                  <c:v>Día 8</c:v>
                </c:pt>
                <c:pt idx="9">
                  <c:v>Día 9</c:v>
                </c:pt>
                <c:pt idx="10">
                  <c:v>Día 10</c:v>
                </c:pt>
                <c:pt idx="11">
                  <c:v>Día 11</c:v>
                </c:pt>
                <c:pt idx="12">
                  <c:v>Día 12</c:v>
                </c:pt>
                <c:pt idx="13">
                  <c:v>Día 13</c:v>
                </c:pt>
                <c:pt idx="14">
                  <c:v>Día 14</c:v>
                </c:pt>
                <c:pt idx="15">
                  <c:v>Día 15</c:v>
                </c:pt>
              </c:strCache>
            </c:strRef>
          </c:cat>
          <c:val>
            <c:numRef>
              <c:f>Sheet1!$B$17:$Q$17</c:f>
              <c:numCache>
                <c:formatCode>General</c:formatCode>
                <c:ptCount val="16"/>
                <c:pt idx="0">
                  <c:v>73</c:v>
                </c:pt>
                <c:pt idx="1">
                  <c:v>68.13333333333334</c:v>
                </c:pt>
                <c:pt idx="2">
                  <c:v>63.266666666666673</c:v>
                </c:pt>
                <c:pt idx="3">
                  <c:v>58.400000000000006</c:v>
                </c:pt>
                <c:pt idx="4">
                  <c:v>53.533333333333339</c:v>
                </c:pt>
                <c:pt idx="5">
                  <c:v>48.666666666666671</c:v>
                </c:pt>
                <c:pt idx="6">
                  <c:v>43.800000000000004</c:v>
                </c:pt>
                <c:pt idx="7">
                  <c:v>38.933333333333337</c:v>
                </c:pt>
                <c:pt idx="8">
                  <c:v>34.06666666666667</c:v>
                </c:pt>
                <c:pt idx="9">
                  <c:v>29.200000000000003</c:v>
                </c:pt>
                <c:pt idx="10">
                  <c:v>24.333333333333336</c:v>
                </c:pt>
                <c:pt idx="11">
                  <c:v>19.466666666666669</c:v>
                </c:pt>
                <c:pt idx="12">
                  <c:v>14.600000000000001</c:v>
                </c:pt>
                <c:pt idx="13">
                  <c:v>9.7333333333333343</c:v>
                </c:pt>
                <c:pt idx="14">
                  <c:v>4.866666666666668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A6-4A77-8A6F-6A13FF6BD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6459152"/>
        <c:axId val="69504576"/>
      </c:lineChart>
      <c:catAx>
        <c:axId val="204645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04576"/>
        <c:crosses val="autoZero"/>
        <c:auto val="1"/>
        <c:lblAlgn val="ctr"/>
        <c:lblOffset val="100"/>
        <c:noMultiLvlLbl val="0"/>
      </c:catAx>
      <c:valAx>
        <c:axId val="6950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459152"/>
        <c:crosses val="autoZero"/>
        <c:crossBetween val="between"/>
      </c:valAx>
      <c:valAx>
        <c:axId val="69524128"/>
        <c:scaling>
          <c:orientation val="minMax"/>
          <c:max val="3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231920"/>
        <c:crosses val="max"/>
        <c:crossBetween val="between"/>
      </c:valAx>
      <c:catAx>
        <c:axId val="2097231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524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781050</xdr:colOff>
      <xdr:row>1</xdr:row>
      <xdr:rowOff>0</xdr:rowOff>
    </xdr:from>
    <xdr:to>
      <xdr:col>15</xdr:col>
      <xdr:colOff>598170</xdr:colOff>
      <xdr:row>26</xdr:row>
      <xdr:rowOff>114301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395A1CE-A1BC-49B6-A599-7FD2082A8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A665-88C7-4222-B918-AB1BED6AEF55}">
  <dimension ref="A1:R17"/>
  <sheetViews>
    <sheetView zoomScaleNormal="100" workbookViewId="0">
      <selection activeCell="R12" sqref="R12"/>
    </sheetView>
  </sheetViews>
  <sheetFormatPr baseColWidth="10" defaultColWidth="8.88671875" defaultRowHeight="14.4" x14ac:dyDescent="0.3"/>
  <cols>
    <col min="1" max="1" width="15.77734375" customWidth="1"/>
    <col min="2" max="2" width="13.33203125" customWidth="1"/>
    <col min="3" max="3" width="7.88671875" customWidth="1"/>
    <col min="4" max="4" width="7" customWidth="1"/>
    <col min="5" max="5" width="7.109375" customWidth="1"/>
    <col min="6" max="6" width="7.44140625" customWidth="1"/>
    <col min="7" max="7" width="7.5546875" customWidth="1"/>
    <col min="8" max="9" width="7.33203125" customWidth="1"/>
    <col min="10" max="10" width="7.21875" customWidth="1"/>
    <col min="11" max="11" width="10.109375" customWidth="1"/>
    <col min="12" max="12" width="11.44140625" customWidth="1"/>
    <col min="13" max="13" width="8.88671875" customWidth="1"/>
  </cols>
  <sheetData>
    <row r="1" spans="1:18" x14ac:dyDescent="0.3">
      <c r="A1" s="2" t="s">
        <v>14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9</v>
      </c>
      <c r="I1" s="3" t="s">
        <v>10</v>
      </c>
      <c r="J1" s="3" t="s">
        <v>11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7" t="s">
        <v>7</v>
      </c>
    </row>
    <row r="2" spans="1:18" ht="43.2" x14ac:dyDescent="0.3">
      <c r="A2" s="14" t="s">
        <v>24</v>
      </c>
      <c r="B2" s="4">
        <v>10</v>
      </c>
      <c r="C2" s="4">
        <v>0</v>
      </c>
      <c r="D2" s="4">
        <v>0</v>
      </c>
      <c r="E2" s="4">
        <v>0</v>
      </c>
      <c r="F2" s="4">
        <v>5</v>
      </c>
      <c r="G2" s="4">
        <v>5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8">
        <f>B2-(SUM(C2:Q2))</f>
        <v>0</v>
      </c>
    </row>
    <row r="3" spans="1:18" x14ac:dyDescent="0.3">
      <c r="A3" s="5" t="s">
        <v>25</v>
      </c>
      <c r="B3" s="6">
        <v>10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5</v>
      </c>
      <c r="I3" s="6">
        <v>3</v>
      </c>
      <c r="J3" s="6">
        <v>0</v>
      </c>
      <c r="K3" s="6">
        <v>0</v>
      </c>
      <c r="L3" s="6">
        <v>0</v>
      </c>
      <c r="M3" s="6">
        <v>2</v>
      </c>
      <c r="N3" s="6">
        <v>0</v>
      </c>
      <c r="O3" s="6">
        <v>0</v>
      </c>
      <c r="P3" s="6">
        <v>0</v>
      </c>
      <c r="Q3" s="6">
        <v>0</v>
      </c>
      <c r="R3" s="9">
        <f>B3-(SUM(C3:Q3))</f>
        <v>0</v>
      </c>
    </row>
    <row r="4" spans="1:18" ht="28.8" x14ac:dyDescent="0.3">
      <c r="A4" s="14" t="s">
        <v>26</v>
      </c>
      <c r="B4" s="4">
        <v>18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2</v>
      </c>
      <c r="I4" s="4">
        <v>0</v>
      </c>
      <c r="J4" s="4">
        <v>5</v>
      </c>
      <c r="K4" s="4">
        <v>5</v>
      </c>
      <c r="L4" s="4">
        <v>0</v>
      </c>
      <c r="M4" s="4">
        <v>0</v>
      </c>
      <c r="N4" s="4">
        <v>0</v>
      </c>
      <c r="O4" s="4">
        <v>0</v>
      </c>
      <c r="P4" s="4">
        <v>3</v>
      </c>
      <c r="Q4" s="4">
        <v>3</v>
      </c>
      <c r="R4" s="8">
        <f>B4-(SUM(C4:Q4))</f>
        <v>0</v>
      </c>
    </row>
    <row r="5" spans="1:18" ht="32.4" customHeight="1" x14ac:dyDescent="0.3">
      <c r="A5" s="15" t="s">
        <v>27</v>
      </c>
      <c r="B5" s="6">
        <v>15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2</v>
      </c>
      <c r="I5" s="6">
        <v>3</v>
      </c>
      <c r="J5" s="6">
        <v>5</v>
      </c>
      <c r="K5" s="6">
        <v>5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9">
        <f>B5-(SUM(C5:Q5))</f>
        <v>0</v>
      </c>
    </row>
    <row r="6" spans="1:18" ht="31.8" customHeight="1" x14ac:dyDescent="0.3">
      <c r="A6" s="16" t="s">
        <v>28</v>
      </c>
      <c r="B6" s="17">
        <v>20</v>
      </c>
      <c r="C6" s="17">
        <v>0</v>
      </c>
      <c r="D6" s="17">
        <v>2</v>
      </c>
      <c r="E6" s="17">
        <v>2</v>
      </c>
      <c r="F6" s="17">
        <v>0</v>
      </c>
      <c r="G6" s="17">
        <v>8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4</v>
      </c>
      <c r="O6" s="17">
        <v>4</v>
      </c>
      <c r="P6" s="17">
        <v>0</v>
      </c>
      <c r="Q6" s="17">
        <v>0</v>
      </c>
      <c r="R6" s="18">
        <f>B6-(SUM(C6:Q6))</f>
        <v>0</v>
      </c>
    </row>
    <row r="13" spans="1:18" x14ac:dyDescent="0.3">
      <c r="A13" s="2" t="s">
        <v>16</v>
      </c>
      <c r="B13" s="10" t="s">
        <v>13</v>
      </c>
      <c r="C13" s="3" t="s">
        <v>29</v>
      </c>
      <c r="D13" s="3" t="s">
        <v>30</v>
      </c>
      <c r="E13" s="3" t="s">
        <v>31</v>
      </c>
      <c r="F13" s="3" t="s">
        <v>32</v>
      </c>
      <c r="G13" s="3" t="s">
        <v>33</v>
      </c>
      <c r="H13" s="3" t="s">
        <v>34</v>
      </c>
      <c r="I13" s="3" t="s">
        <v>35</v>
      </c>
      <c r="J13" s="3" t="s">
        <v>36</v>
      </c>
      <c r="K13" s="3" t="s">
        <v>37</v>
      </c>
      <c r="L13" s="3" t="s">
        <v>38</v>
      </c>
      <c r="M13" s="3" t="s">
        <v>39</v>
      </c>
      <c r="N13" s="3" t="s">
        <v>40</v>
      </c>
      <c r="O13" s="3" t="s">
        <v>41</v>
      </c>
      <c r="P13" s="3" t="s">
        <v>42</v>
      </c>
      <c r="Q13" s="3" t="s">
        <v>43</v>
      </c>
    </row>
    <row r="14" spans="1:18" x14ac:dyDescent="0.3">
      <c r="A14" s="11" t="s">
        <v>8</v>
      </c>
      <c r="B14" s="4"/>
      <c r="C14" s="4">
        <f>SUM($B$2:$B$6)/15</f>
        <v>4.8666666666666663</v>
      </c>
      <c r="D14" s="4">
        <f>SUM($B$2:$B$6)/15</f>
        <v>4.8666666666666663</v>
      </c>
      <c r="E14" s="4">
        <f t="shared" ref="E14:P14" si="0">SUM($B$2:$B$6)/15</f>
        <v>4.8666666666666663</v>
      </c>
      <c r="F14" s="4">
        <f t="shared" si="0"/>
        <v>4.8666666666666663</v>
      </c>
      <c r="G14" s="4">
        <f t="shared" si="0"/>
        <v>4.8666666666666663</v>
      </c>
      <c r="H14" s="4">
        <f t="shared" si="0"/>
        <v>4.8666666666666663</v>
      </c>
      <c r="I14" s="4">
        <f t="shared" si="0"/>
        <v>4.8666666666666663</v>
      </c>
      <c r="J14" s="4">
        <f>SUM($B$2:$B$6)/15</f>
        <v>4.8666666666666663</v>
      </c>
      <c r="K14" s="4">
        <f t="shared" si="0"/>
        <v>4.8666666666666663</v>
      </c>
      <c r="L14" s="4">
        <f t="shared" si="0"/>
        <v>4.8666666666666663</v>
      </c>
      <c r="M14" s="4">
        <f t="shared" si="0"/>
        <v>4.8666666666666663</v>
      </c>
      <c r="N14" s="4">
        <f>SUM($B$2:$B$6)/15</f>
        <v>4.8666666666666663</v>
      </c>
      <c r="O14" s="4">
        <f>SUM($B$2:$B$6)/15</f>
        <v>4.8666666666666663</v>
      </c>
      <c r="P14" s="4">
        <f t="shared" si="0"/>
        <v>4.8666666666666663</v>
      </c>
      <c r="Q14" s="4">
        <f>SUM($B$2:$B$6)/15</f>
        <v>4.8666666666666663</v>
      </c>
    </row>
    <row r="15" spans="1:18" x14ac:dyDescent="0.3">
      <c r="A15" s="12" t="s">
        <v>15</v>
      </c>
      <c r="B15" s="6"/>
      <c r="C15" s="6">
        <f>SUM(C2:C6)</f>
        <v>0</v>
      </c>
      <c r="D15" s="6">
        <f>SUM(D2:D6)</f>
        <v>2</v>
      </c>
      <c r="E15" s="6">
        <f t="shared" ref="E15:Q15" si="1">SUM(E2:E6)</f>
        <v>2</v>
      </c>
      <c r="F15" s="6">
        <f t="shared" si="1"/>
        <v>5</v>
      </c>
      <c r="G15" s="6">
        <f t="shared" si="1"/>
        <v>13</v>
      </c>
      <c r="H15" s="6">
        <f t="shared" si="1"/>
        <v>9</v>
      </c>
      <c r="I15" s="6">
        <f t="shared" si="1"/>
        <v>6</v>
      </c>
      <c r="J15" s="6">
        <f t="shared" si="1"/>
        <v>10</v>
      </c>
      <c r="K15" s="6">
        <f t="shared" si="1"/>
        <v>10</v>
      </c>
      <c r="L15" s="6">
        <f t="shared" si="1"/>
        <v>0</v>
      </c>
      <c r="M15" s="6">
        <f t="shared" si="1"/>
        <v>2</v>
      </c>
      <c r="N15" s="6">
        <f t="shared" si="1"/>
        <v>4</v>
      </c>
      <c r="O15" s="6">
        <f t="shared" si="1"/>
        <v>4</v>
      </c>
      <c r="P15" s="6">
        <f t="shared" si="1"/>
        <v>3</v>
      </c>
      <c r="Q15" s="6">
        <f t="shared" si="1"/>
        <v>3</v>
      </c>
    </row>
    <row r="16" spans="1:18" x14ac:dyDescent="0.3">
      <c r="A16" s="11" t="s">
        <v>1</v>
      </c>
      <c r="B16" s="4">
        <f>SUM(B2:B6)</f>
        <v>73</v>
      </c>
      <c r="C16" s="4">
        <f>B16-C15</f>
        <v>73</v>
      </c>
      <c r="D16" s="4">
        <f t="shared" ref="D16:J16" si="2">C16-D15</f>
        <v>71</v>
      </c>
      <c r="E16" s="4">
        <f t="shared" si="2"/>
        <v>69</v>
      </c>
      <c r="F16" s="4">
        <f t="shared" si="2"/>
        <v>64</v>
      </c>
      <c r="G16" s="4">
        <f t="shared" si="2"/>
        <v>51</v>
      </c>
      <c r="H16" s="4">
        <f t="shared" si="2"/>
        <v>42</v>
      </c>
      <c r="I16" s="4">
        <f t="shared" si="2"/>
        <v>36</v>
      </c>
      <c r="J16" s="4">
        <f t="shared" si="2"/>
        <v>26</v>
      </c>
      <c r="K16" s="4">
        <f t="shared" ref="K16" si="3">J16-K15</f>
        <v>16</v>
      </c>
      <c r="L16" s="4">
        <f t="shared" ref="L16" si="4">K16-L15</f>
        <v>16</v>
      </c>
      <c r="M16" s="4">
        <f t="shared" ref="M16" si="5">L16-M15</f>
        <v>14</v>
      </c>
      <c r="N16" s="4">
        <f t="shared" ref="N16" si="6">M16-N15</f>
        <v>10</v>
      </c>
      <c r="O16" s="4">
        <f t="shared" ref="O16" si="7">N16-O15</f>
        <v>6</v>
      </c>
      <c r="P16" s="4">
        <f t="shared" ref="P16" si="8">O16-P15</f>
        <v>3</v>
      </c>
      <c r="Q16" s="4">
        <f>P16-Q15</f>
        <v>0</v>
      </c>
    </row>
    <row r="17" spans="1:17" x14ac:dyDescent="0.3">
      <c r="A17" s="13" t="s">
        <v>12</v>
      </c>
      <c r="B17" s="1">
        <f>SUM(B2:B6)</f>
        <v>73</v>
      </c>
      <c r="C17" s="1">
        <f>B17-C14</f>
        <v>68.13333333333334</v>
      </c>
      <c r="D17" s="1">
        <f t="shared" ref="D17:J17" si="9">C17-D14</f>
        <v>63.266666666666673</v>
      </c>
      <c r="E17" s="1">
        <f t="shared" si="9"/>
        <v>58.400000000000006</v>
      </c>
      <c r="F17" s="1">
        <f t="shared" si="9"/>
        <v>53.533333333333339</v>
      </c>
      <c r="G17" s="1">
        <f t="shared" si="9"/>
        <v>48.666666666666671</v>
      </c>
      <c r="H17" s="1">
        <f t="shared" si="9"/>
        <v>43.800000000000004</v>
      </c>
      <c r="I17" s="1">
        <f t="shared" si="9"/>
        <v>38.933333333333337</v>
      </c>
      <c r="J17" s="1">
        <f t="shared" si="9"/>
        <v>34.06666666666667</v>
      </c>
      <c r="K17" s="1">
        <f t="shared" ref="K17" si="10">J17-K14</f>
        <v>29.200000000000003</v>
      </c>
      <c r="L17" s="1">
        <f t="shared" ref="L17" si="11">K17-L14</f>
        <v>24.333333333333336</v>
      </c>
      <c r="M17" s="1">
        <f t="shared" ref="M17" si="12">L17-M14</f>
        <v>19.466666666666669</v>
      </c>
      <c r="N17" s="1">
        <f t="shared" ref="N17" si="13">M17-N14</f>
        <v>14.600000000000001</v>
      </c>
      <c r="O17" s="1">
        <f t="shared" ref="O17" si="14">N17-O14</f>
        <v>9.7333333333333343</v>
      </c>
      <c r="P17" s="1">
        <f t="shared" ref="P17" si="15">O17-P14</f>
        <v>4.866666666666668</v>
      </c>
      <c r="Q17" s="1">
        <f>P17-Q14</f>
        <v>0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BB8C7-7DE7-4756-8D57-7F26A1305480}">
  <dimension ref="A1"/>
  <sheetViews>
    <sheetView tabSelected="1" zoomScale="74" workbookViewId="0">
      <selection activeCell="S11" sqref="S1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MyBooker</dc:creator>
  <cp:lastModifiedBy>ESTEBAN EDUARDO ROJAS ORTIZ</cp:lastModifiedBy>
  <dcterms:created xsi:type="dcterms:W3CDTF">2017-03-11T18:37:14Z</dcterms:created>
  <dcterms:modified xsi:type="dcterms:W3CDTF">2025-11-18T00:04:12Z</dcterms:modified>
</cp:coreProperties>
</file>